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8800" windowHeight="14025"/>
  </bookViews>
  <sheets>
    <sheet name="Sheet1" sheetId="1" r:id="rId1"/>
    <sheet name="Sheet3" sheetId="5" r:id="rId2"/>
    <sheet name="Sheet2" sheetId="4" r:id="rId3"/>
    <sheet name="PriceData" sheetId="2" r:id="rId4"/>
    <sheet name="Info" sheetId="3" r:id="rId5"/>
  </sheets>
  <functionGroups builtInGroupCount="17"/>
  <calcPr calcId="145621" iterateDelta="1E-4"/>
</workbook>
</file>

<file path=xl/calcChain.xml><?xml version="1.0" encoding="utf-8"?>
<calcChain xmlns="http://schemas.openxmlformats.org/spreadsheetml/2006/main">
  <c r="W29" i="5" l="1" a="1"/>
  <c r="W29" i="5" s="1"/>
  <c r="V29" i="5" a="1"/>
  <c r="V29" i="5" s="1"/>
  <c r="X29" i="5" s="1"/>
  <c r="V22" i="5" a="1"/>
  <c r="V23" i="5" s="1"/>
  <c r="U22" i="5" a="1"/>
  <c r="U22" i="5" s="1"/>
  <c r="B44" i="1" a="1"/>
  <c r="E44" i="1" a="1"/>
  <c r="X47" i="1"/>
  <c r="X78" i="1"/>
  <c r="X121" i="1"/>
  <c r="X85" i="1"/>
  <c r="X49" i="1"/>
  <c r="X136" i="1"/>
  <c r="X120" i="1"/>
  <c r="X104" i="1"/>
  <c r="X88" i="1"/>
  <c r="X72" i="1"/>
  <c r="X56" i="1"/>
  <c r="X139" i="1"/>
  <c r="X123" i="1"/>
  <c r="X107" i="1"/>
  <c r="X91" i="1"/>
  <c r="X75" i="1"/>
  <c r="X59" i="1"/>
  <c r="X142" i="1"/>
  <c r="X126" i="1"/>
  <c r="X110" i="1"/>
  <c r="X94" i="1"/>
  <c r="X74" i="1"/>
  <c r="X58" i="1"/>
  <c r="X133" i="1"/>
  <c r="X101" i="1"/>
  <c r="X65" i="1"/>
  <c r="B38" i="1" a="1"/>
  <c r="B36" i="1" a="1"/>
  <c r="X140" i="1"/>
  <c r="X108" i="1"/>
  <c r="X76" i="1"/>
  <c r="X143" i="1"/>
  <c r="X111" i="1"/>
  <c r="X79" i="1"/>
  <c r="X130" i="1"/>
  <c r="X98" i="1"/>
  <c r="X62" i="1"/>
  <c r="X109" i="1"/>
  <c r="B40" i="1"/>
  <c r="X50" i="1"/>
  <c r="X113" i="1"/>
  <c r="X77" i="1"/>
  <c r="X45" i="1"/>
  <c r="X132" i="1"/>
  <c r="X116" i="1"/>
  <c r="X100" i="1"/>
  <c r="X84" i="1"/>
  <c r="X68" i="1"/>
  <c r="X52" i="1"/>
  <c r="X135" i="1"/>
  <c r="X119" i="1"/>
  <c r="X103" i="1"/>
  <c r="X87" i="1"/>
  <c r="X71" i="1"/>
  <c r="X55" i="1"/>
  <c r="X138" i="1"/>
  <c r="X122" i="1"/>
  <c r="X106" i="1"/>
  <c r="X90" i="1"/>
  <c r="X70" i="1"/>
  <c r="X54" i="1"/>
  <c r="X125" i="1"/>
  <c r="X93" i="1"/>
  <c r="X57" i="1"/>
  <c r="X44" i="1"/>
  <c r="X137" i="1"/>
  <c r="X105" i="1"/>
  <c r="X69" i="1"/>
  <c r="X89" i="1"/>
  <c r="X128" i="1"/>
  <c r="X112" i="1"/>
  <c r="X96" i="1"/>
  <c r="X80" i="1"/>
  <c r="X64" i="1"/>
  <c r="X48" i="1"/>
  <c r="X131" i="1"/>
  <c r="X115" i="1"/>
  <c r="X99" i="1"/>
  <c r="X83" i="1"/>
  <c r="X67" i="1"/>
  <c r="X51" i="1"/>
  <c r="X134" i="1"/>
  <c r="X118" i="1"/>
  <c r="X102" i="1"/>
  <c r="X86" i="1"/>
  <c r="X66" i="1"/>
  <c r="X46" i="1"/>
  <c r="X117" i="1"/>
  <c r="X81" i="1"/>
  <c r="X53" i="1"/>
  <c r="X129" i="1"/>
  <c r="X97" i="1"/>
  <c r="X61" i="1"/>
  <c r="X124" i="1"/>
  <c r="X92" i="1"/>
  <c r="X60" i="1"/>
  <c r="X127" i="1"/>
  <c r="X95" i="1"/>
  <c r="X63" i="1"/>
  <c r="X114" i="1"/>
  <c r="X82" i="1"/>
  <c r="X141" i="1"/>
  <c r="X73" i="1"/>
  <c r="C41" i="4" a="1"/>
  <c r="C37" i="4" a="1"/>
  <c r="B45" i="1" l="1"/>
  <c r="B47" i="1"/>
  <c r="B49" i="1"/>
  <c r="B51" i="1"/>
  <c r="B53" i="1"/>
  <c r="B55" i="1"/>
  <c r="B57" i="1"/>
  <c r="B59" i="1"/>
  <c r="B61" i="1"/>
  <c r="B63" i="1"/>
  <c r="B65" i="1"/>
  <c r="B67" i="1"/>
  <c r="B69" i="1"/>
  <c r="B71" i="1"/>
  <c r="B73" i="1"/>
  <c r="B75" i="1"/>
  <c r="B77" i="1"/>
  <c r="B79" i="1"/>
  <c r="B81" i="1"/>
  <c r="B83" i="1"/>
  <c r="B85" i="1"/>
  <c r="B87" i="1"/>
  <c r="B89" i="1"/>
  <c r="B91" i="1"/>
  <c r="B93" i="1"/>
  <c r="B95" i="1"/>
  <c r="B97" i="1"/>
  <c r="B99" i="1"/>
  <c r="B101" i="1"/>
  <c r="B103" i="1"/>
  <c r="B105" i="1"/>
  <c r="B107" i="1"/>
  <c r="B109" i="1"/>
  <c r="B111" i="1"/>
  <c r="B113" i="1"/>
  <c r="B115" i="1"/>
  <c r="B117" i="1"/>
  <c r="B119" i="1"/>
  <c r="B121" i="1"/>
  <c r="B123" i="1"/>
  <c r="B125" i="1"/>
  <c r="B127" i="1"/>
  <c r="B129" i="1"/>
  <c r="B131" i="1"/>
  <c r="B133" i="1"/>
  <c r="B135" i="1"/>
  <c r="B137" i="1"/>
  <c r="B139" i="1"/>
  <c r="B141" i="1"/>
  <c r="B143" i="1"/>
  <c r="C45" i="1"/>
  <c r="C47" i="1"/>
  <c r="C49" i="1"/>
  <c r="C51" i="1"/>
  <c r="C53" i="1"/>
  <c r="C55" i="1"/>
  <c r="C57" i="1"/>
  <c r="C59" i="1"/>
  <c r="C61" i="1"/>
  <c r="C63" i="1"/>
  <c r="C65" i="1"/>
  <c r="C67" i="1"/>
  <c r="C69" i="1"/>
  <c r="C71" i="1"/>
  <c r="C73" i="1"/>
  <c r="C75" i="1"/>
  <c r="C77" i="1"/>
  <c r="C79" i="1"/>
  <c r="C81" i="1"/>
  <c r="C83" i="1"/>
  <c r="C85" i="1"/>
  <c r="C87" i="1"/>
  <c r="C89" i="1"/>
  <c r="C91" i="1"/>
  <c r="C93" i="1"/>
  <c r="C95" i="1"/>
  <c r="C97" i="1"/>
  <c r="C99" i="1"/>
  <c r="C101" i="1"/>
  <c r="C103" i="1"/>
  <c r="C105" i="1"/>
  <c r="C107" i="1"/>
  <c r="C109" i="1"/>
  <c r="C111" i="1"/>
  <c r="C46" i="1"/>
  <c r="C50" i="1"/>
  <c r="C54" i="1"/>
  <c r="C58" i="1"/>
  <c r="C62" i="1"/>
  <c r="C66" i="1"/>
  <c r="C70" i="1"/>
  <c r="C74" i="1"/>
  <c r="C78" i="1"/>
  <c r="C82" i="1"/>
  <c r="C86" i="1"/>
  <c r="C90" i="1"/>
  <c r="C94" i="1"/>
  <c r="C98" i="1"/>
  <c r="C102" i="1"/>
  <c r="C106" i="1"/>
  <c r="C110" i="1"/>
  <c r="B114" i="1"/>
  <c r="C116" i="1"/>
  <c r="C119" i="1"/>
  <c r="B122" i="1"/>
  <c r="C124" i="1"/>
  <c r="C127" i="1"/>
  <c r="B130" i="1"/>
  <c r="C132" i="1"/>
  <c r="C135" i="1"/>
  <c r="B138" i="1"/>
  <c r="C140" i="1"/>
  <c r="C143" i="1"/>
  <c r="B44" i="1"/>
  <c r="B48" i="1"/>
  <c r="B52" i="1"/>
  <c r="B56" i="1"/>
  <c r="B60" i="1"/>
  <c r="B64" i="1"/>
  <c r="B68" i="1"/>
  <c r="B72" i="1"/>
  <c r="B76" i="1"/>
  <c r="B80" i="1"/>
  <c r="B84" i="1"/>
  <c r="B88" i="1"/>
  <c r="B92" i="1"/>
  <c r="B96" i="1"/>
  <c r="B100" i="1"/>
  <c r="B104" i="1"/>
  <c r="B108" i="1"/>
  <c r="B112" i="1"/>
  <c r="C114" i="1"/>
  <c r="C117" i="1"/>
  <c r="B120" i="1"/>
  <c r="C122" i="1"/>
  <c r="C125" i="1"/>
  <c r="B128" i="1"/>
  <c r="C130" i="1"/>
  <c r="C133" i="1"/>
  <c r="B136" i="1"/>
  <c r="C138" i="1"/>
  <c r="C141" i="1"/>
  <c r="B144" i="1"/>
  <c r="C44" i="1"/>
  <c r="C48" i="1"/>
  <c r="C52" i="1"/>
  <c r="C56" i="1"/>
  <c r="C60" i="1"/>
  <c r="C64" i="1"/>
  <c r="C68" i="1"/>
  <c r="C72" i="1"/>
  <c r="C76" i="1"/>
  <c r="C80" i="1"/>
  <c r="C84" i="1"/>
  <c r="C88" i="1"/>
  <c r="C92" i="1"/>
  <c r="C96" i="1"/>
  <c r="C100" i="1"/>
  <c r="C104" i="1"/>
  <c r="C108" i="1"/>
  <c r="C112" i="1"/>
  <c r="C115" i="1"/>
  <c r="B118" i="1"/>
  <c r="C120" i="1"/>
  <c r="C123" i="1"/>
  <c r="B126" i="1"/>
  <c r="C128" i="1"/>
  <c r="C131" i="1"/>
  <c r="B134" i="1"/>
  <c r="C136" i="1"/>
  <c r="C139" i="1"/>
  <c r="B142" i="1"/>
  <c r="C144" i="1"/>
  <c r="B46" i="1"/>
  <c r="B50" i="1"/>
  <c r="B54" i="1"/>
  <c r="B58" i="1"/>
  <c r="B62" i="1"/>
  <c r="B66" i="1"/>
  <c r="B70" i="1"/>
  <c r="B74" i="1"/>
  <c r="B78" i="1"/>
  <c r="B82" i="1"/>
  <c r="B86" i="1"/>
  <c r="B90" i="1"/>
  <c r="B94" i="1"/>
  <c r="B98" i="1"/>
  <c r="B102" i="1"/>
  <c r="B106" i="1"/>
  <c r="B110" i="1"/>
  <c r="C113" i="1"/>
  <c r="B116" i="1"/>
  <c r="C118" i="1"/>
  <c r="C121" i="1"/>
  <c r="B124" i="1"/>
  <c r="C126" i="1"/>
  <c r="C129" i="1"/>
  <c r="B132" i="1"/>
  <c r="C134" i="1"/>
  <c r="C137" i="1"/>
  <c r="B140" i="1"/>
  <c r="C142" i="1"/>
  <c r="G44" i="1"/>
  <c r="K44" i="1"/>
  <c r="E45" i="1"/>
  <c r="I45" i="1"/>
  <c r="M45" i="1"/>
  <c r="G46" i="1"/>
  <c r="K46" i="1"/>
  <c r="E47" i="1"/>
  <c r="I47" i="1"/>
  <c r="M47" i="1"/>
  <c r="G48" i="1"/>
  <c r="K48" i="1"/>
  <c r="E49" i="1"/>
  <c r="I49" i="1"/>
  <c r="M49" i="1"/>
  <c r="G50" i="1"/>
  <c r="K50" i="1"/>
  <c r="E51" i="1"/>
  <c r="I51" i="1"/>
  <c r="M51" i="1"/>
  <c r="G52" i="1"/>
  <c r="K52" i="1"/>
  <c r="E53" i="1"/>
  <c r="I53" i="1"/>
  <c r="M53" i="1"/>
  <c r="G54" i="1"/>
  <c r="K54" i="1"/>
  <c r="E55" i="1"/>
  <c r="I55" i="1"/>
  <c r="M55" i="1"/>
  <c r="G56" i="1"/>
  <c r="K56" i="1"/>
  <c r="E57" i="1"/>
  <c r="I57" i="1"/>
  <c r="M57" i="1"/>
  <c r="G58" i="1"/>
  <c r="K58" i="1"/>
  <c r="E59" i="1"/>
  <c r="I59" i="1"/>
  <c r="M59" i="1"/>
  <c r="G60" i="1"/>
  <c r="K60" i="1"/>
  <c r="E61" i="1"/>
  <c r="I61" i="1"/>
  <c r="M61" i="1"/>
  <c r="G62" i="1"/>
  <c r="K62" i="1"/>
  <c r="E63" i="1"/>
  <c r="I63" i="1"/>
  <c r="M63" i="1"/>
  <c r="G64" i="1"/>
  <c r="K64" i="1"/>
  <c r="E65" i="1"/>
  <c r="I65" i="1"/>
  <c r="M65" i="1"/>
  <c r="G66" i="1"/>
  <c r="K66" i="1"/>
  <c r="E67" i="1"/>
  <c r="I67" i="1"/>
  <c r="M67" i="1"/>
  <c r="G68" i="1"/>
  <c r="K68" i="1"/>
  <c r="E69" i="1"/>
  <c r="I69" i="1"/>
  <c r="M69" i="1"/>
  <c r="G70" i="1"/>
  <c r="K70" i="1"/>
  <c r="E71" i="1"/>
  <c r="I71" i="1"/>
  <c r="M71" i="1"/>
  <c r="G72" i="1"/>
  <c r="K72" i="1"/>
  <c r="E73" i="1"/>
  <c r="I73" i="1"/>
  <c r="M73" i="1"/>
  <c r="G74" i="1"/>
  <c r="K74" i="1"/>
  <c r="E75" i="1"/>
  <c r="I75" i="1"/>
  <c r="M75" i="1"/>
  <c r="G76" i="1"/>
  <c r="K76" i="1"/>
  <c r="E77" i="1"/>
  <c r="I77" i="1"/>
  <c r="M77" i="1"/>
  <c r="H44" i="1"/>
  <c r="M44" i="1"/>
  <c r="H45" i="1"/>
  <c r="N45" i="1"/>
  <c r="I46" i="1"/>
  <c r="N46" i="1"/>
  <c r="J47" i="1"/>
  <c r="E48" i="1"/>
  <c r="J48" i="1"/>
  <c r="F49" i="1"/>
  <c r="K49" i="1"/>
  <c r="F50" i="1"/>
  <c r="L50" i="1"/>
  <c r="G51" i="1"/>
  <c r="L51" i="1"/>
  <c r="H52" i="1"/>
  <c r="M52" i="1"/>
  <c r="H53" i="1"/>
  <c r="N53" i="1"/>
  <c r="I54" i="1"/>
  <c r="N54" i="1"/>
  <c r="J55" i="1"/>
  <c r="E56" i="1"/>
  <c r="J56" i="1"/>
  <c r="F57" i="1"/>
  <c r="K57" i="1"/>
  <c r="F58" i="1"/>
  <c r="L58" i="1"/>
  <c r="G59" i="1"/>
  <c r="L59" i="1"/>
  <c r="H60" i="1"/>
  <c r="M60" i="1"/>
  <c r="H61" i="1"/>
  <c r="N61" i="1"/>
  <c r="I62" i="1"/>
  <c r="N62" i="1"/>
  <c r="J63" i="1"/>
  <c r="E64" i="1"/>
  <c r="J64" i="1"/>
  <c r="F65" i="1"/>
  <c r="K65" i="1"/>
  <c r="F66" i="1"/>
  <c r="L66" i="1"/>
  <c r="G67" i="1"/>
  <c r="L67" i="1"/>
  <c r="H68" i="1"/>
  <c r="M68" i="1"/>
  <c r="H69" i="1"/>
  <c r="N69" i="1"/>
  <c r="I70" i="1"/>
  <c r="N70" i="1"/>
  <c r="J71" i="1"/>
  <c r="E72" i="1"/>
  <c r="J72" i="1"/>
  <c r="F73" i="1"/>
  <c r="K73" i="1"/>
  <c r="F74" i="1"/>
  <c r="L74" i="1"/>
  <c r="G75" i="1"/>
  <c r="L75" i="1"/>
  <c r="H76" i="1"/>
  <c r="M76" i="1"/>
  <c r="H77" i="1"/>
  <c r="N77" i="1"/>
  <c r="H78" i="1"/>
  <c r="L78" i="1"/>
  <c r="F79" i="1"/>
  <c r="J79" i="1"/>
  <c r="N79" i="1"/>
  <c r="H80" i="1"/>
  <c r="L80" i="1"/>
  <c r="F81" i="1"/>
  <c r="J81" i="1"/>
  <c r="N81" i="1"/>
  <c r="H82" i="1"/>
  <c r="L82" i="1"/>
  <c r="F83" i="1"/>
  <c r="J83" i="1"/>
  <c r="N83" i="1"/>
  <c r="H84" i="1"/>
  <c r="L84" i="1"/>
  <c r="F85" i="1"/>
  <c r="J85" i="1"/>
  <c r="N85" i="1"/>
  <c r="H86" i="1"/>
  <c r="L86" i="1"/>
  <c r="F87" i="1"/>
  <c r="J87" i="1"/>
  <c r="N87" i="1"/>
  <c r="H88" i="1"/>
  <c r="L88" i="1"/>
  <c r="F89" i="1"/>
  <c r="J89" i="1"/>
  <c r="N89" i="1"/>
  <c r="H90" i="1"/>
  <c r="L90" i="1"/>
  <c r="F91" i="1"/>
  <c r="J91" i="1"/>
  <c r="N91" i="1"/>
  <c r="H92" i="1"/>
  <c r="L92" i="1"/>
  <c r="F93" i="1"/>
  <c r="J93" i="1"/>
  <c r="N93" i="1"/>
  <c r="H94" i="1"/>
  <c r="L94" i="1"/>
  <c r="F95" i="1"/>
  <c r="J95" i="1"/>
  <c r="N95" i="1"/>
  <c r="H96" i="1"/>
  <c r="L96" i="1"/>
  <c r="F97" i="1"/>
  <c r="J97" i="1"/>
  <c r="N97" i="1"/>
  <c r="H98" i="1"/>
  <c r="L98" i="1"/>
  <c r="F99" i="1"/>
  <c r="J99" i="1"/>
  <c r="N99" i="1"/>
  <c r="H100" i="1"/>
  <c r="L100" i="1"/>
  <c r="F101" i="1"/>
  <c r="J101" i="1"/>
  <c r="N101" i="1"/>
  <c r="H102" i="1"/>
  <c r="L102" i="1"/>
  <c r="F103" i="1"/>
  <c r="J103" i="1"/>
  <c r="N103" i="1"/>
  <c r="H104" i="1"/>
  <c r="L104" i="1"/>
  <c r="F105" i="1"/>
  <c r="J105" i="1"/>
  <c r="N105" i="1"/>
  <c r="H106" i="1"/>
  <c r="L106" i="1"/>
  <c r="F107" i="1"/>
  <c r="J107" i="1"/>
  <c r="N107" i="1"/>
  <c r="H108" i="1"/>
  <c r="L108" i="1"/>
  <c r="F109" i="1"/>
  <c r="J109" i="1"/>
  <c r="N109" i="1"/>
  <c r="H110" i="1"/>
  <c r="L110" i="1"/>
  <c r="F111" i="1"/>
  <c r="J111" i="1"/>
  <c r="N111" i="1"/>
  <c r="H112" i="1"/>
  <c r="L112" i="1"/>
  <c r="F113" i="1"/>
  <c r="J113" i="1"/>
  <c r="N113" i="1"/>
  <c r="H114" i="1"/>
  <c r="L114" i="1"/>
  <c r="F115" i="1"/>
  <c r="J115" i="1"/>
  <c r="N115" i="1"/>
  <c r="H116" i="1"/>
  <c r="L116" i="1"/>
  <c r="F117" i="1"/>
  <c r="J117" i="1"/>
  <c r="N117" i="1"/>
  <c r="H118" i="1"/>
  <c r="L118" i="1"/>
  <c r="F119" i="1"/>
  <c r="J119" i="1"/>
  <c r="N119" i="1"/>
  <c r="H120" i="1"/>
  <c r="E44" i="1"/>
  <c r="I44" i="1"/>
  <c r="F45" i="1"/>
  <c r="L45" i="1"/>
  <c r="J46" i="1"/>
  <c r="G47" i="1"/>
  <c r="N47" i="1"/>
  <c r="L48" i="1"/>
  <c r="H49" i="1"/>
  <c r="E50" i="1"/>
  <c r="M50" i="1"/>
  <c r="J51" i="1"/>
  <c r="F52" i="1"/>
  <c r="N52" i="1"/>
  <c r="K53" i="1"/>
  <c r="H54" i="1"/>
  <c r="F55" i="1"/>
  <c r="L55" i="1"/>
  <c r="I56" i="1"/>
  <c r="G57" i="1"/>
  <c r="N57" i="1"/>
  <c r="J58" i="1"/>
  <c r="H59" i="1"/>
  <c r="E60" i="1"/>
  <c r="L60" i="1"/>
  <c r="J61" i="1"/>
  <c r="F62" i="1"/>
  <c r="M62" i="1"/>
  <c r="K63" i="1"/>
  <c r="H64" i="1"/>
  <c r="N64" i="1"/>
  <c r="L65" i="1"/>
  <c r="I66" i="1"/>
  <c r="F67" i="1"/>
  <c r="N67" i="1"/>
  <c r="J68" i="1"/>
  <c r="G69" i="1"/>
  <c r="E70" i="1"/>
  <c r="L70" i="1"/>
  <c r="H71" i="1"/>
  <c r="F72" i="1"/>
  <c r="M72" i="1"/>
  <c r="J73" i="1"/>
  <c r="H74" i="1"/>
  <c r="N74" i="1"/>
  <c r="K75" i="1"/>
  <c r="I76" i="1"/>
  <c r="F77" i="1"/>
  <c r="L77" i="1"/>
  <c r="I78" i="1"/>
  <c r="N78" i="1"/>
  <c r="I79" i="1"/>
  <c r="E80" i="1"/>
  <c r="J80" i="1"/>
  <c r="E81" i="1"/>
  <c r="K81" i="1"/>
  <c r="F82" i="1"/>
  <c r="K82" i="1"/>
  <c r="G83" i="1"/>
  <c r="L83" i="1"/>
  <c r="G84" i="1"/>
  <c r="M84" i="1"/>
  <c r="H85" i="1"/>
  <c r="M85" i="1"/>
  <c r="I86" i="1"/>
  <c r="N86" i="1"/>
  <c r="I87" i="1"/>
  <c r="E88" i="1"/>
  <c r="J88" i="1"/>
  <c r="E89" i="1"/>
  <c r="K89" i="1"/>
  <c r="F90" i="1"/>
  <c r="K90" i="1"/>
  <c r="G91" i="1"/>
  <c r="L91" i="1"/>
  <c r="G92" i="1"/>
  <c r="M92" i="1"/>
  <c r="H93" i="1"/>
  <c r="M93" i="1"/>
  <c r="I94" i="1"/>
  <c r="N94" i="1"/>
  <c r="I95" i="1"/>
  <c r="E96" i="1"/>
  <c r="J96" i="1"/>
  <c r="E97" i="1"/>
  <c r="K97" i="1"/>
  <c r="F98" i="1"/>
  <c r="K98" i="1"/>
  <c r="G99" i="1"/>
  <c r="L99" i="1"/>
  <c r="G100" i="1"/>
  <c r="M100" i="1"/>
  <c r="H101" i="1"/>
  <c r="M101" i="1"/>
  <c r="I102" i="1"/>
  <c r="N102" i="1"/>
  <c r="I103" i="1"/>
  <c r="E104" i="1"/>
  <c r="J104" i="1"/>
  <c r="E105" i="1"/>
  <c r="K105" i="1"/>
  <c r="F106" i="1"/>
  <c r="K106" i="1"/>
  <c r="G107" i="1"/>
  <c r="L107" i="1"/>
  <c r="G108" i="1"/>
  <c r="M108" i="1"/>
  <c r="H109" i="1"/>
  <c r="M109" i="1"/>
  <c r="I110" i="1"/>
  <c r="N110" i="1"/>
  <c r="I111" i="1"/>
  <c r="E112" i="1"/>
  <c r="J112" i="1"/>
  <c r="E113" i="1"/>
  <c r="K113" i="1"/>
  <c r="F114" i="1"/>
  <c r="K114" i="1"/>
  <c r="G115" i="1"/>
  <c r="L115" i="1"/>
  <c r="G116" i="1"/>
  <c r="M116" i="1"/>
  <c r="H117" i="1"/>
  <c r="M117" i="1"/>
  <c r="I118" i="1"/>
  <c r="N118" i="1"/>
  <c r="I119" i="1"/>
  <c r="E120" i="1"/>
  <c r="J120" i="1"/>
  <c r="N120" i="1"/>
  <c r="H121" i="1"/>
  <c r="L121" i="1"/>
  <c r="F122" i="1"/>
  <c r="J122" i="1"/>
  <c r="N122" i="1"/>
  <c r="H123" i="1"/>
  <c r="L123" i="1"/>
  <c r="F124" i="1"/>
  <c r="J124" i="1"/>
  <c r="N124" i="1"/>
  <c r="H125" i="1"/>
  <c r="L125" i="1"/>
  <c r="F126" i="1"/>
  <c r="J126" i="1"/>
  <c r="N126" i="1"/>
  <c r="H127" i="1"/>
  <c r="L127" i="1"/>
  <c r="F128" i="1"/>
  <c r="J128" i="1"/>
  <c r="N128" i="1"/>
  <c r="H129" i="1"/>
  <c r="L129" i="1"/>
  <c r="F130" i="1"/>
  <c r="J130" i="1"/>
  <c r="N130" i="1"/>
  <c r="H131" i="1"/>
  <c r="L131" i="1"/>
  <c r="F132" i="1"/>
  <c r="J132" i="1"/>
  <c r="N132" i="1"/>
  <c r="H133" i="1"/>
  <c r="L133" i="1"/>
  <c r="F134" i="1"/>
  <c r="J134" i="1"/>
  <c r="N134" i="1"/>
  <c r="H135" i="1"/>
  <c r="L135" i="1"/>
  <c r="F136" i="1"/>
  <c r="J136" i="1"/>
  <c r="N136" i="1"/>
  <c r="H137" i="1"/>
  <c r="L137" i="1"/>
  <c r="F138" i="1"/>
  <c r="J138" i="1"/>
  <c r="N138" i="1"/>
  <c r="H139" i="1"/>
  <c r="L139" i="1"/>
  <c r="F140" i="1"/>
  <c r="J140" i="1"/>
  <c r="N140" i="1"/>
  <c r="H141" i="1"/>
  <c r="L141" i="1"/>
  <c r="F142" i="1"/>
  <c r="J142" i="1"/>
  <c r="N142" i="1"/>
  <c r="H143" i="1"/>
  <c r="L143" i="1"/>
  <c r="F144" i="1"/>
  <c r="J144" i="1"/>
  <c r="N144" i="1"/>
  <c r="J44" i="1"/>
  <c r="G45" i="1"/>
  <c r="E46" i="1"/>
  <c r="L46" i="1"/>
  <c r="H47" i="1"/>
  <c r="F48" i="1"/>
  <c r="M48" i="1"/>
  <c r="J49" i="1"/>
  <c r="H50" i="1"/>
  <c r="N50" i="1"/>
  <c r="K51" i="1"/>
  <c r="I52" i="1"/>
  <c r="F53" i="1"/>
  <c r="L53" i="1"/>
  <c r="J54" i="1"/>
  <c r="G55" i="1"/>
  <c r="N55" i="1"/>
  <c r="L56" i="1"/>
  <c r="H57" i="1"/>
  <c r="E58" i="1"/>
  <c r="M58" i="1"/>
  <c r="J59" i="1"/>
  <c r="F60" i="1"/>
  <c r="N60" i="1"/>
  <c r="K61" i="1"/>
  <c r="H62" i="1"/>
  <c r="F63" i="1"/>
  <c r="L63" i="1"/>
  <c r="I64" i="1"/>
  <c r="G65" i="1"/>
  <c r="N65" i="1"/>
  <c r="J66" i="1"/>
  <c r="H67" i="1"/>
  <c r="E68" i="1"/>
  <c r="L68" i="1"/>
  <c r="J69" i="1"/>
  <c r="F70" i="1"/>
  <c r="M70" i="1"/>
  <c r="K71" i="1"/>
  <c r="H72" i="1"/>
  <c r="N72" i="1"/>
  <c r="L73" i="1"/>
  <c r="I74" i="1"/>
  <c r="F75" i="1"/>
  <c r="N75" i="1"/>
  <c r="J76" i="1"/>
  <c r="G77" i="1"/>
  <c r="E78" i="1"/>
  <c r="J78" i="1"/>
  <c r="E79" i="1"/>
  <c r="K79" i="1"/>
  <c r="F80" i="1"/>
  <c r="K80" i="1"/>
  <c r="G81" i="1"/>
  <c r="L81" i="1"/>
  <c r="G82" i="1"/>
  <c r="M82" i="1"/>
  <c r="H83" i="1"/>
  <c r="M83" i="1"/>
  <c r="I84" i="1"/>
  <c r="N84" i="1"/>
  <c r="I85" i="1"/>
  <c r="E86" i="1"/>
  <c r="J86" i="1"/>
  <c r="E87" i="1"/>
  <c r="K87" i="1"/>
  <c r="F88" i="1"/>
  <c r="K88" i="1"/>
  <c r="G89" i="1"/>
  <c r="L89" i="1"/>
  <c r="G90" i="1"/>
  <c r="M90" i="1"/>
  <c r="H91" i="1"/>
  <c r="M91" i="1"/>
  <c r="I92" i="1"/>
  <c r="N92" i="1"/>
  <c r="I93" i="1"/>
  <c r="E94" i="1"/>
  <c r="J94" i="1"/>
  <c r="E95" i="1"/>
  <c r="K95" i="1"/>
  <c r="F96" i="1"/>
  <c r="K96" i="1"/>
  <c r="G97" i="1"/>
  <c r="L97" i="1"/>
  <c r="G98" i="1"/>
  <c r="M98" i="1"/>
  <c r="H99" i="1"/>
  <c r="M99" i="1"/>
  <c r="I100" i="1"/>
  <c r="N100" i="1"/>
  <c r="I101" i="1"/>
  <c r="E102" i="1"/>
  <c r="J102" i="1"/>
  <c r="E103" i="1"/>
  <c r="K103" i="1"/>
  <c r="F104" i="1"/>
  <c r="K104" i="1"/>
  <c r="G105" i="1"/>
  <c r="L105" i="1"/>
  <c r="G106" i="1"/>
  <c r="M106" i="1"/>
  <c r="H107" i="1"/>
  <c r="M107" i="1"/>
  <c r="I108" i="1"/>
  <c r="N108" i="1"/>
  <c r="I109" i="1"/>
  <c r="E110" i="1"/>
  <c r="J110" i="1"/>
  <c r="E111" i="1"/>
  <c r="K111" i="1"/>
  <c r="F112" i="1"/>
  <c r="K112" i="1"/>
  <c r="G113" i="1"/>
  <c r="L113" i="1"/>
  <c r="G114" i="1"/>
  <c r="M114" i="1"/>
  <c r="H115" i="1"/>
  <c r="M115" i="1"/>
  <c r="I116" i="1"/>
  <c r="N116" i="1"/>
  <c r="I117" i="1"/>
  <c r="E118" i="1"/>
  <c r="J118" i="1"/>
  <c r="E119" i="1"/>
  <c r="K119" i="1"/>
  <c r="F120" i="1"/>
  <c r="E121" i="1"/>
  <c r="I121" i="1"/>
  <c r="M121" i="1"/>
  <c r="G122" i="1"/>
  <c r="K122" i="1"/>
  <c r="E123" i="1"/>
  <c r="I123" i="1"/>
  <c r="M123" i="1"/>
  <c r="G124" i="1"/>
  <c r="K124" i="1"/>
  <c r="E125" i="1"/>
  <c r="I125" i="1"/>
  <c r="M125" i="1"/>
  <c r="G126" i="1"/>
  <c r="K126" i="1"/>
  <c r="E127" i="1"/>
  <c r="I127" i="1"/>
  <c r="M127" i="1"/>
  <c r="G128" i="1"/>
  <c r="K128" i="1"/>
  <c r="E129" i="1"/>
  <c r="I129" i="1"/>
  <c r="M129" i="1"/>
  <c r="G130" i="1"/>
  <c r="J45" i="1"/>
  <c r="M46" i="1"/>
  <c r="H48" i="1"/>
  <c r="L49" i="1"/>
  <c r="F51" i="1"/>
  <c r="J52" i="1"/>
  <c r="E54" i="1"/>
  <c r="H55" i="1"/>
  <c r="M56" i="1"/>
  <c r="H58" i="1"/>
  <c r="K59" i="1"/>
  <c r="F61" i="1"/>
  <c r="J62" i="1"/>
  <c r="N63" i="1"/>
  <c r="H65" i="1"/>
  <c r="M66" i="1"/>
  <c r="F68" i="1"/>
  <c r="K69" i="1"/>
  <c r="F71" i="1"/>
  <c r="I72" i="1"/>
  <c r="N73" i="1"/>
  <c r="H75" i="1"/>
  <c r="L76" i="1"/>
  <c r="F78" i="1"/>
  <c r="G79" i="1"/>
  <c r="G80" i="1"/>
  <c r="H81" i="1"/>
  <c r="I82" i="1"/>
  <c r="I83" i="1"/>
  <c r="J84" i="1"/>
  <c r="K85" i="1"/>
  <c r="K86" i="1"/>
  <c r="L87" i="1"/>
  <c r="M88" i="1"/>
  <c r="M89" i="1"/>
  <c r="N90" i="1"/>
  <c r="E92" i="1"/>
  <c r="E93" i="1"/>
  <c r="F94" i="1"/>
  <c r="G95" i="1"/>
  <c r="G96" i="1"/>
  <c r="H97" i="1"/>
  <c r="I98" i="1"/>
  <c r="I99" i="1"/>
  <c r="J100" i="1"/>
  <c r="K101" i="1"/>
  <c r="K102" i="1"/>
  <c r="L103" i="1"/>
  <c r="M104" i="1"/>
  <c r="M105" i="1"/>
  <c r="N106" i="1"/>
  <c r="E108" i="1"/>
  <c r="E109" i="1"/>
  <c r="F110" i="1"/>
  <c r="G111" i="1"/>
  <c r="G112" i="1"/>
  <c r="H113" i="1"/>
  <c r="I114" i="1"/>
  <c r="I115" i="1"/>
  <c r="J116" i="1"/>
  <c r="K117" i="1"/>
  <c r="K118" i="1"/>
  <c r="L119" i="1"/>
  <c r="K120" i="1"/>
  <c r="G121" i="1"/>
  <c r="E122" i="1"/>
  <c r="M122" i="1"/>
  <c r="K123" i="1"/>
  <c r="I124" i="1"/>
  <c r="G125" i="1"/>
  <c r="E126" i="1"/>
  <c r="M126" i="1"/>
  <c r="K127" i="1"/>
  <c r="I128" i="1"/>
  <c r="G129" i="1"/>
  <c r="E130" i="1"/>
  <c r="L130" i="1"/>
  <c r="G131" i="1"/>
  <c r="M131" i="1"/>
  <c r="H132" i="1"/>
  <c r="M132" i="1"/>
  <c r="I133" i="1"/>
  <c r="N133" i="1"/>
  <c r="I134" i="1"/>
  <c r="E135" i="1"/>
  <c r="J135" i="1"/>
  <c r="E136" i="1"/>
  <c r="K136" i="1"/>
  <c r="F137" i="1"/>
  <c r="K137" i="1"/>
  <c r="G138" i="1"/>
  <c r="L138" i="1"/>
  <c r="G139" i="1"/>
  <c r="M139" i="1"/>
  <c r="H140" i="1"/>
  <c r="M140" i="1"/>
  <c r="I141" i="1"/>
  <c r="N141" i="1"/>
  <c r="I142" i="1"/>
  <c r="E143" i="1"/>
  <c r="J143" i="1"/>
  <c r="E144" i="1"/>
  <c r="K144" i="1"/>
  <c r="F44" i="1"/>
  <c r="K45" i="1"/>
  <c r="F47" i="1"/>
  <c r="I48" i="1"/>
  <c r="N49" i="1"/>
  <c r="H51" i="1"/>
  <c r="L52" i="1"/>
  <c r="F54" i="1"/>
  <c r="K55" i="1"/>
  <c r="N56" i="1"/>
  <c r="I58" i="1"/>
  <c r="N59" i="1"/>
  <c r="G61" i="1"/>
  <c r="L62" i="1"/>
  <c r="F64" i="1"/>
  <c r="J65" i="1"/>
  <c r="N66" i="1"/>
  <c r="I68" i="1"/>
  <c r="L69" i="1"/>
  <c r="G71" i="1"/>
  <c r="L72" i="1"/>
  <c r="E74" i="1"/>
  <c r="J75" i="1"/>
  <c r="N76" i="1"/>
  <c r="G78" i="1"/>
  <c r="H79" i="1"/>
  <c r="I80" i="1"/>
  <c r="I81" i="1"/>
  <c r="J82" i="1"/>
  <c r="K83" i="1"/>
  <c r="K84" i="1"/>
  <c r="L85" i="1"/>
  <c r="M86" i="1"/>
  <c r="M87" i="1"/>
  <c r="N88" i="1"/>
  <c r="E90" i="1"/>
  <c r="E91" i="1"/>
  <c r="F92" i="1"/>
  <c r="G93" i="1"/>
  <c r="G94" i="1"/>
  <c r="H95" i="1"/>
  <c r="I96" i="1"/>
  <c r="I97" i="1"/>
  <c r="J98" i="1"/>
  <c r="K99" i="1"/>
  <c r="K100" i="1"/>
  <c r="L101" i="1"/>
  <c r="M102" i="1"/>
  <c r="M103" i="1"/>
  <c r="N104" i="1"/>
  <c r="E106" i="1"/>
  <c r="E107" i="1"/>
  <c r="F108" i="1"/>
  <c r="G109" i="1"/>
  <c r="G110" i="1"/>
  <c r="H111" i="1"/>
  <c r="I112" i="1"/>
  <c r="I113" i="1"/>
  <c r="J114" i="1"/>
  <c r="K115" i="1"/>
  <c r="K116" i="1"/>
  <c r="L117" i="1"/>
  <c r="M118" i="1"/>
  <c r="M119" i="1"/>
  <c r="L120" i="1"/>
  <c r="J121" i="1"/>
  <c r="H122" i="1"/>
  <c r="F123" i="1"/>
  <c r="N123" i="1"/>
  <c r="L124" i="1"/>
  <c r="J125" i="1"/>
  <c r="H126" i="1"/>
  <c r="F127" i="1"/>
  <c r="N127" i="1"/>
  <c r="L128" i="1"/>
  <c r="J129" i="1"/>
  <c r="H130" i="1"/>
  <c r="M130" i="1"/>
  <c r="I131" i="1"/>
  <c r="N131" i="1"/>
  <c r="I132" i="1"/>
  <c r="E133" i="1"/>
  <c r="J133" i="1"/>
  <c r="E134" i="1"/>
  <c r="K134" i="1"/>
  <c r="F135" i="1"/>
  <c r="K135" i="1"/>
  <c r="G136" i="1"/>
  <c r="L136" i="1"/>
  <c r="G137" i="1"/>
  <c r="M137" i="1"/>
  <c r="H138" i="1"/>
  <c r="M138" i="1"/>
  <c r="I139" i="1"/>
  <c r="N139" i="1"/>
  <c r="I140" i="1"/>
  <c r="E141" i="1"/>
  <c r="J141" i="1"/>
  <c r="E142" i="1"/>
  <c r="K142" i="1"/>
  <c r="F143" i="1"/>
  <c r="K143" i="1"/>
  <c r="G144" i="1"/>
  <c r="L144" i="1"/>
  <c r="L44" i="1"/>
  <c r="F46" i="1"/>
  <c r="K47" i="1"/>
  <c r="N48" i="1"/>
  <c r="I50" i="1"/>
  <c r="N51" i="1"/>
  <c r="G53" i="1"/>
  <c r="L54" i="1"/>
  <c r="F56" i="1"/>
  <c r="J57" i="1"/>
  <c r="N58" i="1"/>
  <c r="I60" i="1"/>
  <c r="L61" i="1"/>
  <c r="G63" i="1"/>
  <c r="L64" i="1"/>
  <c r="E66" i="1"/>
  <c r="J67" i="1"/>
  <c r="N68" i="1"/>
  <c r="H70" i="1"/>
  <c r="L71" i="1"/>
  <c r="G73" i="1"/>
  <c r="J74" i="1"/>
  <c r="E76" i="1"/>
  <c r="J77" i="1"/>
  <c r="K78" i="1"/>
  <c r="L79" i="1"/>
  <c r="M80" i="1"/>
  <c r="M81" i="1"/>
  <c r="N82" i="1"/>
  <c r="E84" i="1"/>
  <c r="E85" i="1"/>
  <c r="F86" i="1"/>
  <c r="G87" i="1"/>
  <c r="G88" i="1"/>
  <c r="H89" i="1"/>
  <c r="I90" i="1"/>
  <c r="I91" i="1"/>
  <c r="J92" i="1"/>
  <c r="K93" i="1"/>
  <c r="K94" i="1"/>
  <c r="L95" i="1"/>
  <c r="M96" i="1"/>
  <c r="M97" i="1"/>
  <c r="N98" i="1"/>
  <c r="E100" i="1"/>
  <c r="E101" i="1"/>
  <c r="F102" i="1"/>
  <c r="G103" i="1"/>
  <c r="G104" i="1"/>
  <c r="H105" i="1"/>
  <c r="I106" i="1"/>
  <c r="I107" i="1"/>
  <c r="J108" i="1"/>
  <c r="K109" i="1"/>
  <c r="K110" i="1"/>
  <c r="L111" i="1"/>
  <c r="M112" i="1"/>
  <c r="M113" i="1"/>
  <c r="N114" i="1"/>
  <c r="E116" i="1"/>
  <c r="E117" i="1"/>
  <c r="F118" i="1"/>
  <c r="G119" i="1"/>
  <c r="G120" i="1"/>
  <c r="M120" i="1"/>
  <c r="K121" i="1"/>
  <c r="I122" i="1"/>
  <c r="G123" i="1"/>
  <c r="E124" i="1"/>
  <c r="M124" i="1"/>
  <c r="K125" i="1"/>
  <c r="I126" i="1"/>
  <c r="G127" i="1"/>
  <c r="E128" i="1"/>
  <c r="M128" i="1"/>
  <c r="K129" i="1"/>
  <c r="I130" i="1"/>
  <c r="E131" i="1"/>
  <c r="J131" i="1"/>
  <c r="E132" i="1"/>
  <c r="K132" i="1"/>
  <c r="F133" i="1"/>
  <c r="K133" i="1"/>
  <c r="G134" i="1"/>
  <c r="L134" i="1"/>
  <c r="G135" i="1"/>
  <c r="M135" i="1"/>
  <c r="H136" i="1"/>
  <c r="M136" i="1"/>
  <c r="I137" i="1"/>
  <c r="N137" i="1"/>
  <c r="I138" i="1"/>
  <c r="E139" i="1"/>
  <c r="J139" i="1"/>
  <c r="E140" i="1"/>
  <c r="K140" i="1"/>
  <c r="F141" i="1"/>
  <c r="K141" i="1"/>
  <c r="G142" i="1"/>
  <c r="L142" i="1"/>
  <c r="G143" i="1"/>
  <c r="M143" i="1"/>
  <c r="H144" i="1"/>
  <c r="M144" i="1"/>
  <c r="N44" i="1"/>
  <c r="H46" i="1"/>
  <c r="L47" i="1"/>
  <c r="G49" i="1"/>
  <c r="J50" i="1"/>
  <c r="E52" i="1"/>
  <c r="J53" i="1"/>
  <c r="M54" i="1"/>
  <c r="H56" i="1"/>
  <c r="L57" i="1"/>
  <c r="F59" i="1"/>
  <c r="J60" i="1"/>
  <c r="E62" i="1"/>
  <c r="H63" i="1"/>
  <c r="M64" i="1"/>
  <c r="H66" i="1"/>
  <c r="K67" i="1"/>
  <c r="F69" i="1"/>
  <c r="J70" i="1"/>
  <c r="N71" i="1"/>
  <c r="H73" i="1"/>
  <c r="M74" i="1"/>
  <c r="F76" i="1"/>
  <c r="K77" i="1"/>
  <c r="M78" i="1"/>
  <c r="M79" i="1"/>
  <c r="N80" i="1"/>
  <c r="E82" i="1"/>
  <c r="E83" i="1"/>
  <c r="F84" i="1"/>
  <c r="G85" i="1"/>
  <c r="G86" i="1"/>
  <c r="H87" i="1"/>
  <c r="I88" i="1"/>
  <c r="I89" i="1"/>
  <c r="J90" i="1"/>
  <c r="K91" i="1"/>
  <c r="K92" i="1"/>
  <c r="L93" i="1"/>
  <c r="M94" i="1"/>
  <c r="M95" i="1"/>
  <c r="N96" i="1"/>
  <c r="E98" i="1"/>
  <c r="E99" i="1"/>
  <c r="F100" i="1"/>
  <c r="G101" i="1"/>
  <c r="G102" i="1"/>
  <c r="H103" i="1"/>
  <c r="I104" i="1"/>
  <c r="I105" i="1"/>
  <c r="J106" i="1"/>
  <c r="K107" i="1"/>
  <c r="K108" i="1"/>
  <c r="L109" i="1"/>
  <c r="M110" i="1"/>
  <c r="M111" i="1"/>
  <c r="N112" i="1"/>
  <c r="E114" i="1"/>
  <c r="E115" i="1"/>
  <c r="F116" i="1"/>
  <c r="G117" i="1"/>
  <c r="G118" i="1"/>
  <c r="H119" i="1"/>
  <c r="I120" i="1"/>
  <c r="F121" i="1"/>
  <c r="N121" i="1"/>
  <c r="L122" i="1"/>
  <c r="J123" i="1"/>
  <c r="H124" i="1"/>
  <c r="F125" i="1"/>
  <c r="N125" i="1"/>
  <c r="L126" i="1"/>
  <c r="J127" i="1"/>
  <c r="H128" i="1"/>
  <c r="F129" i="1"/>
  <c r="N129" i="1"/>
  <c r="K130" i="1"/>
  <c r="F131" i="1"/>
  <c r="K131" i="1"/>
  <c r="G132" i="1"/>
  <c r="L132" i="1"/>
  <c r="G133" i="1"/>
  <c r="M133" i="1"/>
  <c r="H134" i="1"/>
  <c r="M134" i="1"/>
  <c r="I135" i="1"/>
  <c r="N135" i="1"/>
  <c r="I136" i="1"/>
  <c r="E137" i="1"/>
  <c r="J137" i="1"/>
  <c r="E138" i="1"/>
  <c r="K138" i="1"/>
  <c r="F139" i="1"/>
  <c r="K139" i="1"/>
  <c r="G140" i="1"/>
  <c r="L140" i="1"/>
  <c r="G141" i="1"/>
  <c r="M141" i="1"/>
  <c r="H142" i="1"/>
  <c r="M142" i="1"/>
  <c r="I143" i="1"/>
  <c r="N143" i="1"/>
  <c r="I144" i="1"/>
  <c r="D42" i="4"/>
  <c r="D44" i="4"/>
  <c r="D46" i="4"/>
  <c r="D48" i="4"/>
  <c r="D50" i="4"/>
  <c r="D52" i="4"/>
  <c r="D54" i="4"/>
  <c r="D56" i="4"/>
  <c r="D58" i="4"/>
  <c r="D60" i="4"/>
  <c r="D62" i="4"/>
  <c r="D64" i="4"/>
  <c r="D66" i="4"/>
  <c r="D68" i="4"/>
  <c r="D70" i="4"/>
  <c r="D72" i="4"/>
  <c r="D74" i="4"/>
  <c r="D76" i="4"/>
  <c r="D78" i="4"/>
  <c r="D80" i="4"/>
  <c r="D82" i="4"/>
  <c r="D84" i="4"/>
  <c r="D86" i="4"/>
  <c r="D88" i="4"/>
  <c r="D90" i="4"/>
  <c r="D92" i="4"/>
  <c r="D94" i="4"/>
  <c r="D96" i="4"/>
  <c r="D98" i="4"/>
  <c r="D100" i="4"/>
  <c r="D102" i="4"/>
  <c r="D104" i="4"/>
  <c r="D106" i="4"/>
  <c r="D108" i="4"/>
  <c r="D110" i="4"/>
  <c r="D112" i="4"/>
  <c r="D114" i="4"/>
  <c r="D116" i="4"/>
  <c r="D118" i="4"/>
  <c r="D120" i="4"/>
  <c r="D122" i="4"/>
  <c r="D124" i="4"/>
  <c r="D126" i="4"/>
  <c r="D128" i="4"/>
  <c r="D130" i="4"/>
  <c r="D132" i="4"/>
  <c r="D134" i="4"/>
  <c r="D136" i="4"/>
  <c r="D138" i="4"/>
  <c r="D140" i="4"/>
  <c r="C41" i="4"/>
  <c r="C45" i="4"/>
  <c r="C49" i="4"/>
  <c r="C51" i="4"/>
  <c r="C55" i="4"/>
  <c r="C59" i="4"/>
  <c r="C63" i="4"/>
  <c r="C67" i="4"/>
  <c r="C71" i="4"/>
  <c r="C75" i="4"/>
  <c r="C81" i="4"/>
  <c r="C87" i="4"/>
  <c r="C93" i="4"/>
  <c r="C99" i="4"/>
  <c r="C105" i="4"/>
  <c r="C111" i="4"/>
  <c r="C117" i="4"/>
  <c r="C123" i="4"/>
  <c r="C129" i="4"/>
  <c r="C135" i="4"/>
  <c r="C141" i="4"/>
  <c r="D41" i="4"/>
  <c r="D43" i="4"/>
  <c r="D45" i="4"/>
  <c r="D47" i="4"/>
  <c r="D49" i="4"/>
  <c r="D51" i="4"/>
  <c r="D53" i="4"/>
  <c r="D55" i="4"/>
  <c r="D57" i="4"/>
  <c r="D59" i="4"/>
  <c r="D61" i="4"/>
  <c r="D63" i="4"/>
  <c r="D65" i="4"/>
  <c r="D67" i="4"/>
  <c r="D69" i="4"/>
  <c r="D71" i="4"/>
  <c r="D73" i="4"/>
  <c r="D75" i="4"/>
  <c r="D77" i="4"/>
  <c r="D79" i="4"/>
  <c r="D81" i="4"/>
  <c r="D83" i="4"/>
  <c r="D85" i="4"/>
  <c r="D87" i="4"/>
  <c r="D89" i="4"/>
  <c r="D91" i="4"/>
  <c r="D93" i="4"/>
  <c r="D95" i="4"/>
  <c r="D97" i="4"/>
  <c r="D99" i="4"/>
  <c r="D101" i="4"/>
  <c r="D103" i="4"/>
  <c r="D105" i="4"/>
  <c r="D107" i="4"/>
  <c r="D109" i="4"/>
  <c r="D111" i="4"/>
  <c r="D113" i="4"/>
  <c r="D115" i="4"/>
  <c r="D117" i="4"/>
  <c r="D119" i="4"/>
  <c r="D121" i="4"/>
  <c r="D123" i="4"/>
  <c r="D125" i="4"/>
  <c r="D127" i="4"/>
  <c r="D129" i="4"/>
  <c r="D131" i="4"/>
  <c r="D133" i="4"/>
  <c r="D135" i="4"/>
  <c r="D137" i="4"/>
  <c r="D139" i="4"/>
  <c r="D141" i="4"/>
  <c r="C47" i="4"/>
  <c r="C65" i="4"/>
  <c r="C73" i="4"/>
  <c r="C79" i="4"/>
  <c r="C85" i="4"/>
  <c r="C91" i="4"/>
  <c r="C97" i="4"/>
  <c r="C103" i="4"/>
  <c r="C109" i="4"/>
  <c r="C115" i="4"/>
  <c r="C121" i="4"/>
  <c r="C127" i="4"/>
  <c r="C133" i="4"/>
  <c r="C139" i="4"/>
  <c r="C42" i="4"/>
  <c r="C44" i="4"/>
  <c r="C46" i="4"/>
  <c r="C48" i="4"/>
  <c r="C50" i="4"/>
  <c r="C52" i="4"/>
  <c r="C54" i="4"/>
  <c r="C56" i="4"/>
  <c r="C58" i="4"/>
  <c r="C60" i="4"/>
  <c r="C62" i="4"/>
  <c r="C64" i="4"/>
  <c r="C66" i="4"/>
  <c r="C68" i="4"/>
  <c r="C70" i="4"/>
  <c r="C72" i="4"/>
  <c r="C74" i="4"/>
  <c r="C76" i="4"/>
  <c r="C78" i="4"/>
  <c r="C80" i="4"/>
  <c r="C82" i="4"/>
  <c r="C84" i="4"/>
  <c r="C86" i="4"/>
  <c r="C88" i="4"/>
  <c r="C90" i="4"/>
  <c r="C92" i="4"/>
  <c r="C94" i="4"/>
  <c r="C96" i="4"/>
  <c r="C98" i="4"/>
  <c r="C100" i="4"/>
  <c r="C102" i="4"/>
  <c r="C104" i="4"/>
  <c r="C106" i="4"/>
  <c r="C108" i="4"/>
  <c r="C110" i="4"/>
  <c r="C112" i="4"/>
  <c r="C114" i="4"/>
  <c r="C116" i="4"/>
  <c r="C118" i="4"/>
  <c r="C120" i="4"/>
  <c r="C122" i="4"/>
  <c r="C124" i="4"/>
  <c r="C126" i="4"/>
  <c r="C128" i="4"/>
  <c r="C130" i="4"/>
  <c r="C132" i="4"/>
  <c r="C134" i="4"/>
  <c r="C136" i="4"/>
  <c r="C138" i="4"/>
  <c r="C140" i="4"/>
  <c r="C43" i="4"/>
  <c r="C53" i="4"/>
  <c r="C57" i="4"/>
  <c r="C61" i="4"/>
  <c r="C69" i="4"/>
  <c r="C77" i="4"/>
  <c r="C83" i="4"/>
  <c r="C89" i="4"/>
  <c r="C95" i="4"/>
  <c r="C101" i="4"/>
  <c r="C107" i="4"/>
  <c r="C113" i="4"/>
  <c r="C119" i="4"/>
  <c r="C125" i="4"/>
  <c r="C131" i="4"/>
  <c r="C137" i="4"/>
  <c r="C38" i="1"/>
  <c r="B38" i="1"/>
  <c r="B36" i="1"/>
  <c r="C36" i="1"/>
  <c r="C37" i="4"/>
  <c r="D37" i="4"/>
  <c r="W30" i="5"/>
  <c r="V30" i="5"/>
  <c r="X30" i="5" s="1"/>
  <c r="V22" i="5"/>
  <c r="U23" i="5"/>
  <c r="W22" i="5" a="1"/>
  <c r="W23" i="5" s="1"/>
  <c r="W31" i="5"/>
  <c r="P30" i="5"/>
  <c r="O29" i="5"/>
  <c r="W24" i="5" a="1"/>
  <c r="W24" i="5" s="1"/>
  <c r="W25" i="5" a="1"/>
  <c r="W26" i="5" s="1"/>
  <c r="S26" i="5"/>
  <c r="R25" i="5"/>
  <c r="P26" i="5"/>
  <c r="Y22" i="5" s="1" a="1"/>
  <c r="Y23" i="5" s="1"/>
  <c r="O25" i="5"/>
  <c r="O20" i="5"/>
  <c r="W22" i="5" l="1"/>
  <c r="W25" i="5"/>
  <c r="O5" i="5"/>
  <c r="O6" i="5" s="1"/>
  <c r="Y22" i="5"/>
  <c r="Y25" i="5"/>
  <c r="Y24" i="5"/>
  <c r="Y26" i="5"/>
  <c r="AA14" i="1"/>
  <c r="Z14" i="1"/>
  <c r="Y14" i="1"/>
  <c r="X14" i="1"/>
  <c r="W14" i="1"/>
  <c r="V14" i="1"/>
  <c r="U14" i="1"/>
  <c r="T14" i="1"/>
  <c r="S14" i="1"/>
  <c r="AA13" i="1"/>
  <c r="Z13" i="1"/>
  <c r="Y13" i="1"/>
  <c r="X13" i="1"/>
  <c r="W13" i="1"/>
  <c r="V13" i="1"/>
  <c r="U13" i="1"/>
  <c r="T13" i="1"/>
  <c r="S13" i="1"/>
  <c r="AA12" i="1"/>
  <c r="Z12" i="1"/>
  <c r="Y12" i="1"/>
  <c r="X12" i="1"/>
  <c r="W12" i="1"/>
  <c r="V12" i="1"/>
  <c r="U12" i="1"/>
  <c r="T12" i="1"/>
  <c r="S12" i="1"/>
  <c r="AA11" i="1"/>
  <c r="Z11" i="1"/>
  <c r="Y11" i="1"/>
  <c r="X11" i="1"/>
  <c r="W11" i="1"/>
  <c r="V11" i="1"/>
  <c r="U11" i="1"/>
  <c r="T11" i="1"/>
  <c r="S11" i="1"/>
  <c r="AA10" i="1"/>
  <c r="Z10" i="1"/>
  <c r="Y10" i="1"/>
  <c r="X10" i="1"/>
  <c r="W10" i="1"/>
  <c r="V10" i="1"/>
  <c r="U10" i="1"/>
  <c r="T10" i="1"/>
  <c r="S10" i="1"/>
  <c r="AA9" i="1"/>
  <c r="Z9" i="1"/>
  <c r="Y9" i="1"/>
  <c r="X9" i="1"/>
  <c r="W9" i="1"/>
  <c r="V9" i="1"/>
  <c r="U9" i="1"/>
  <c r="T9" i="1"/>
  <c r="S9" i="1"/>
  <c r="AA8" i="1"/>
  <c r="Z8" i="1"/>
  <c r="Y8" i="1"/>
  <c r="X8" i="1"/>
  <c r="W8" i="1"/>
  <c r="V8" i="1"/>
  <c r="U8" i="1"/>
  <c r="T8" i="1"/>
  <c r="S8" i="1"/>
  <c r="AA7" i="1"/>
  <c r="Z7" i="1"/>
  <c r="Y7" i="1"/>
  <c r="X7" i="1"/>
  <c r="W7" i="1"/>
  <c r="V7" i="1"/>
  <c r="U7" i="1"/>
  <c r="T7" i="1"/>
  <c r="S7" i="1"/>
  <c r="AA6" i="1"/>
  <c r="Z6" i="1"/>
  <c r="Y6" i="1"/>
  <c r="X6" i="1"/>
  <c r="W6" i="1"/>
  <c r="V6" i="1"/>
  <c r="U6" i="1"/>
  <c r="T6" i="1"/>
  <c r="S6" i="1"/>
  <c r="AA5" i="1"/>
  <c r="Z5" i="1"/>
  <c r="Y5" i="1"/>
  <c r="X5" i="1"/>
  <c r="W5" i="1"/>
  <c r="V5" i="1"/>
  <c r="U5" i="1"/>
  <c r="T5" i="1"/>
  <c r="S5" i="1"/>
  <c r="R14" i="1"/>
  <c r="R13" i="1"/>
  <c r="R12" i="1"/>
  <c r="R11" i="1"/>
  <c r="R10" i="1"/>
  <c r="R9" i="1"/>
  <c r="R8" i="1"/>
  <c r="R7" i="1"/>
  <c r="R6" i="1"/>
  <c r="R5" i="1"/>
  <c r="C39" i="4" a="1"/>
  <c r="E62" i="4" l="1"/>
  <c r="E94" i="4"/>
  <c r="E102" i="4"/>
  <c r="E126" i="4"/>
  <c r="E134" i="4"/>
  <c r="E51" i="4"/>
  <c r="E71" i="4"/>
  <c r="E95" i="4"/>
  <c r="E111" i="4"/>
  <c r="D39" i="4"/>
  <c r="C39" i="4"/>
  <c r="E103" i="4" l="1"/>
  <c r="E43" i="4"/>
  <c r="E59" i="4"/>
  <c r="E70" i="4"/>
  <c r="E130" i="4"/>
  <c r="E98" i="4"/>
  <c r="E112" i="4"/>
  <c r="E80" i="4"/>
  <c r="E107" i="4"/>
  <c r="E140" i="4"/>
  <c r="E108" i="4"/>
  <c r="E76" i="4"/>
  <c r="E66" i="4"/>
  <c r="E48" i="4"/>
  <c r="E44" i="4"/>
  <c r="E118" i="4"/>
  <c r="E86" i="4"/>
  <c r="E54" i="4"/>
  <c r="E58" i="4"/>
  <c r="E79" i="4"/>
  <c r="E90" i="4"/>
  <c r="E87" i="4"/>
  <c r="E122" i="4"/>
  <c r="E136" i="4"/>
  <c r="E104" i="4"/>
  <c r="E72" i="4"/>
  <c r="E91" i="4"/>
  <c r="E61" i="4"/>
  <c r="E133" i="4"/>
  <c r="E101" i="4"/>
  <c r="E99" i="4"/>
  <c r="E129" i="4"/>
  <c r="E65" i="4"/>
  <c r="E69" i="4"/>
  <c r="E139" i="4"/>
  <c r="E125" i="4"/>
  <c r="E93" i="4"/>
  <c r="E114" i="4"/>
  <c r="E82" i="4"/>
  <c r="E50" i="4"/>
  <c r="E132" i="4"/>
  <c r="E100" i="4"/>
  <c r="E68" i="4"/>
  <c r="E135" i="4"/>
  <c r="E83" i="4"/>
  <c r="E121" i="4"/>
  <c r="E89" i="4"/>
  <c r="E57" i="4"/>
  <c r="E97" i="4"/>
  <c r="E110" i="4"/>
  <c r="E78" i="4"/>
  <c r="E46" i="4"/>
  <c r="E128" i="4"/>
  <c r="E96" i="4"/>
  <c r="E64" i="4"/>
  <c r="E131" i="4"/>
  <c r="E75" i="4"/>
  <c r="E117" i="4"/>
  <c r="E85" i="4"/>
  <c r="E53" i="4"/>
  <c r="E63" i="4"/>
  <c r="E138" i="4"/>
  <c r="E106" i="4"/>
  <c r="E74" i="4"/>
  <c r="E42" i="4"/>
  <c r="E124" i="4"/>
  <c r="E92" i="4"/>
  <c r="E60" i="4"/>
  <c r="E127" i="4"/>
  <c r="E67" i="4"/>
  <c r="E113" i="4"/>
  <c r="E81" i="4"/>
  <c r="E49" i="4"/>
  <c r="E119" i="4"/>
  <c r="E120" i="4"/>
  <c r="E88" i="4"/>
  <c r="E56" i="4"/>
  <c r="E123" i="4"/>
  <c r="E55" i="4"/>
  <c r="E141" i="4"/>
  <c r="E109" i="4"/>
  <c r="E77" i="4"/>
  <c r="E45" i="4"/>
  <c r="E116" i="4"/>
  <c r="E84" i="4"/>
  <c r="E52" i="4"/>
  <c r="E115" i="4"/>
  <c r="E47" i="4"/>
  <c r="E137" i="4"/>
  <c r="E105" i="4"/>
  <c r="E73" i="4"/>
  <c r="E41" i="4"/>
  <c r="P42" i="1" a="1"/>
  <c r="P42" i="1" s="1"/>
  <c r="T42" i="1"/>
  <c r="S42" i="1" a="1"/>
  <c r="S42" i="1" s="1"/>
  <c r="R42" i="1" a="1"/>
  <c r="R42" i="1" s="1"/>
  <c r="Q42" i="1"/>
  <c r="S76" i="1" a="1"/>
  <c r="S76" i="1" s="1"/>
  <c r="Q76" i="1"/>
  <c r="P76" i="1" a="1"/>
  <c r="P76" i="1" s="1"/>
  <c r="T76" i="1"/>
  <c r="R76" i="1" a="1"/>
  <c r="R76" i="1" s="1"/>
  <c r="T36" i="1"/>
  <c r="Q36" i="1"/>
  <c r="R36" i="1" a="1"/>
  <c r="R36" i="1" s="1"/>
  <c r="S36" i="1" a="1"/>
  <c r="S36" i="1" s="1"/>
  <c r="P36" i="1" a="1"/>
  <c r="P36" i="1" s="1"/>
  <c r="T127" i="1"/>
  <c r="P127" i="1" a="1"/>
  <c r="P127" i="1" s="1"/>
  <c r="R127" i="1" a="1"/>
  <c r="R127" i="1" s="1"/>
  <c r="S127" i="1" a="1"/>
  <c r="S127" i="1" s="1"/>
  <c r="Q127" i="1"/>
  <c r="Q118" i="1"/>
  <c r="T118" i="1"/>
  <c r="P118" i="1" a="1"/>
  <c r="P118" i="1" s="1"/>
  <c r="R118" i="1" a="1"/>
  <c r="R118" i="1" s="1"/>
  <c r="S118" i="1" a="1"/>
  <c r="S118" i="1" s="1"/>
  <c r="Q97" i="1"/>
  <c r="T97" i="1"/>
  <c r="P97" i="1" a="1"/>
  <c r="P97" i="1" s="1"/>
  <c r="R97" i="1" a="1"/>
  <c r="R97" i="1" s="1"/>
  <c r="S97" i="1" a="1"/>
  <c r="S97" i="1" s="1"/>
  <c r="S91" i="1" a="1"/>
  <c r="S91" i="1" s="1"/>
  <c r="T91" i="1"/>
  <c r="Q91" i="1"/>
  <c r="P91" i="1" a="1"/>
  <c r="P91" i="1" s="1"/>
  <c r="R91" i="1" a="1"/>
  <c r="R91" i="1" s="1"/>
  <c r="T143" i="1"/>
  <c r="P143" i="1" a="1"/>
  <c r="P143" i="1" s="1"/>
  <c r="R143" i="1" a="1"/>
  <c r="R143" i="1" s="1"/>
  <c r="S143" i="1" a="1"/>
  <c r="S143" i="1" s="1"/>
  <c r="Q143" i="1"/>
  <c r="Q112" i="1"/>
  <c r="R112" i="1" a="1"/>
  <c r="R112" i="1" s="1"/>
  <c r="S112" i="1" a="1"/>
  <c r="S112" i="1" s="1"/>
  <c r="P112" i="1" a="1"/>
  <c r="P112" i="1" s="1"/>
  <c r="T112" i="1"/>
  <c r="S93" i="1" a="1"/>
  <c r="S93" i="1" s="1"/>
  <c r="T93" i="1"/>
  <c r="Q93" i="1"/>
  <c r="P93" i="1" a="1"/>
  <c r="P93" i="1" s="1"/>
  <c r="R93" i="1" a="1"/>
  <c r="R93" i="1" s="1"/>
  <c r="P142" i="1" a="1"/>
  <c r="P142" i="1" s="1"/>
  <c r="S142" i="1" a="1"/>
  <c r="S142" i="1" s="1"/>
  <c r="R142" i="1" a="1"/>
  <c r="R142" i="1" s="1"/>
  <c r="Q142" i="1"/>
  <c r="T142" i="1"/>
  <c r="T88" i="1"/>
  <c r="P88" i="1" a="1"/>
  <c r="P88" i="1" s="1"/>
  <c r="S88" i="1" a="1"/>
  <c r="S88" i="1" s="1"/>
  <c r="R88" i="1" a="1"/>
  <c r="R88" i="1" s="1"/>
  <c r="Q88" i="1"/>
  <c r="P99" i="1" a="1"/>
  <c r="P99" i="1" s="1"/>
  <c r="R99" i="1" a="1"/>
  <c r="R99" i="1" s="1"/>
  <c r="T99" i="1"/>
  <c r="S99" i="1" a="1"/>
  <c r="S99" i="1" s="1"/>
  <c r="Q99" i="1"/>
  <c r="R137" i="1" a="1"/>
  <c r="R137" i="1" s="1"/>
  <c r="S137" i="1" a="1"/>
  <c r="S137" i="1" s="1"/>
  <c r="Q137" i="1"/>
  <c r="T137" i="1"/>
  <c r="P137" i="1" a="1"/>
  <c r="P137" i="1" s="1"/>
  <c r="T119" i="1"/>
  <c r="Q119" i="1"/>
  <c r="R119" i="1" a="1"/>
  <c r="R119" i="1" s="1"/>
  <c r="P119" i="1" a="1"/>
  <c r="P119" i="1" s="1"/>
  <c r="S119" i="1" a="1"/>
  <c r="S119" i="1" s="1"/>
  <c r="P51" i="1" a="1"/>
  <c r="P51" i="1" s="1"/>
  <c r="S51" i="1" a="1"/>
  <c r="S51" i="1" s="1"/>
  <c r="Q51" i="1"/>
  <c r="T51" i="1"/>
  <c r="R51" i="1" a="1"/>
  <c r="R51" i="1" s="1"/>
  <c r="T108" i="1"/>
  <c r="P108" i="1" a="1"/>
  <c r="P108" i="1" s="1"/>
  <c r="Q108" i="1"/>
  <c r="S108" i="1" a="1"/>
  <c r="S108" i="1" s="1"/>
  <c r="R108" i="1" a="1"/>
  <c r="R108" i="1" s="1"/>
  <c r="R38" i="1" a="1"/>
  <c r="R38" i="1" s="1"/>
  <c r="S38" i="1" a="1"/>
  <c r="S38" i="1" s="1"/>
  <c r="P38" i="1" a="1"/>
  <c r="P38" i="1" s="1"/>
  <c r="T38" i="1"/>
  <c r="Q38" i="1"/>
  <c r="T126" i="1"/>
  <c r="P126" i="1" a="1"/>
  <c r="P126" i="1" s="1"/>
  <c r="R126" i="1" a="1"/>
  <c r="R126" i="1" s="1"/>
  <c r="Q126" i="1"/>
  <c r="S126" i="1" a="1"/>
  <c r="S126" i="1" s="1"/>
  <c r="R47" i="1" a="1"/>
  <c r="R47" i="1" s="1"/>
  <c r="S47" i="1" a="1"/>
  <c r="S47" i="1" s="1"/>
  <c r="Q47" i="1"/>
  <c r="T47" i="1"/>
  <c r="P47" i="1" a="1"/>
  <c r="P47" i="1" s="1"/>
  <c r="R59" i="1" a="1"/>
  <c r="R59" i="1" s="1"/>
  <c r="Q59" i="1"/>
  <c r="T59" i="1"/>
  <c r="S59" i="1" a="1"/>
  <c r="S59" i="1" s="1"/>
  <c r="P59" i="1" a="1"/>
  <c r="P59" i="1" s="1"/>
  <c r="T63" i="1"/>
  <c r="Q63" i="1"/>
  <c r="P63" i="1" a="1"/>
  <c r="P63" i="1" s="1"/>
  <c r="S63" i="1" a="1"/>
  <c r="S63" i="1" s="1"/>
  <c r="R63" i="1" a="1"/>
  <c r="R63" i="1" s="1"/>
  <c r="T114" i="1"/>
  <c r="Q114" i="1"/>
  <c r="P114" i="1" a="1"/>
  <c r="P114" i="1" s="1"/>
  <c r="R114" i="1" a="1"/>
  <c r="R114" i="1" s="1"/>
  <c r="S114" i="1" a="1"/>
  <c r="S114" i="1" s="1"/>
  <c r="P96" i="1" a="1"/>
  <c r="P96" i="1" s="1"/>
  <c r="S96" i="1" a="1"/>
  <c r="S96" i="1" s="1"/>
  <c r="R96" i="1" a="1"/>
  <c r="R96" i="1" s="1"/>
  <c r="Q96" i="1"/>
  <c r="T96" i="1"/>
  <c r="Q134" i="1"/>
  <c r="P134" i="1" a="1"/>
  <c r="P134" i="1" s="1"/>
  <c r="S134" i="1" a="1"/>
  <c r="S134" i="1" s="1"/>
  <c r="T134" i="1"/>
  <c r="R134" i="1" a="1"/>
  <c r="R134" i="1" s="1"/>
  <c r="S128" i="1" a="1"/>
  <c r="S128" i="1" s="1"/>
  <c r="Q128" i="1"/>
  <c r="P128" i="1" a="1"/>
  <c r="P128" i="1" s="1"/>
  <c r="R128" i="1" a="1"/>
  <c r="R128" i="1" s="1"/>
  <c r="T128" i="1"/>
  <c r="R144" i="1" a="1"/>
  <c r="R144" i="1" s="1"/>
  <c r="S144" i="1" a="1"/>
  <c r="S144" i="1" s="1"/>
  <c r="P144" i="1" a="1"/>
  <c r="P144" i="1" s="1"/>
  <c r="T144" i="1"/>
  <c r="Q144" i="1"/>
  <c r="Q102" i="1"/>
  <c r="T102" i="1"/>
  <c r="S102" i="1" a="1"/>
  <c r="S102" i="1" s="1"/>
  <c r="P102" i="1" a="1"/>
  <c r="P102" i="1" s="1"/>
  <c r="R102" i="1" a="1"/>
  <c r="R102" i="1" s="1"/>
  <c r="P52" i="1" a="1"/>
  <c r="P52" i="1" s="1"/>
  <c r="R52" i="1" a="1"/>
  <c r="R52" i="1" s="1"/>
  <c r="S52" i="1" a="1"/>
  <c r="S52" i="1" s="1"/>
  <c r="T52" i="1"/>
  <c r="Q52" i="1"/>
  <c r="R98" i="1" a="1"/>
  <c r="R98" i="1" s="1"/>
  <c r="T98" i="1"/>
  <c r="S98" i="1" a="1"/>
  <c r="S98" i="1" s="1"/>
  <c r="P98" i="1" a="1"/>
  <c r="P98" i="1" s="1"/>
  <c r="Q98" i="1"/>
  <c r="R60" i="1" a="1"/>
  <c r="R60" i="1" s="1"/>
  <c r="T60" i="1"/>
  <c r="P60" i="1" a="1"/>
  <c r="P60" i="1" s="1"/>
  <c r="S60" i="1" a="1"/>
  <c r="S60" i="1" s="1"/>
  <c r="Q60" i="1"/>
  <c r="P95" i="1" a="1"/>
  <c r="P95" i="1" s="1"/>
  <c r="Q95" i="1"/>
  <c r="R95" i="1" a="1"/>
  <c r="R95" i="1" s="1"/>
  <c r="S95" i="1" a="1"/>
  <c r="S95" i="1" s="1"/>
  <c r="T95" i="1"/>
  <c r="S73" i="1" a="1"/>
  <c r="S73" i="1" s="1"/>
  <c r="T73" i="1"/>
  <c r="Q73" i="1"/>
  <c r="P73" i="1" a="1"/>
  <c r="P73" i="1" s="1"/>
  <c r="R73" i="1" a="1"/>
  <c r="R73" i="1" s="1"/>
  <c r="S64" i="1" a="1"/>
  <c r="S64" i="1" s="1"/>
  <c r="P64" i="1" a="1"/>
  <c r="P64" i="1" s="1"/>
  <c r="T64" i="1"/>
  <c r="Q64" i="1"/>
  <c r="R64" i="1" a="1"/>
  <c r="R64" i="1" s="1"/>
  <c r="P109" i="1" a="1"/>
  <c r="P109" i="1" s="1"/>
  <c r="R109" i="1" a="1"/>
  <c r="R109" i="1" s="1"/>
  <c r="Q109" i="1"/>
  <c r="S109" i="1" a="1"/>
  <c r="S109" i="1" s="1"/>
  <c r="T109" i="1"/>
  <c r="R138" i="1" a="1"/>
  <c r="R138" i="1" s="1"/>
  <c r="T138" i="1"/>
  <c r="P138" i="1" a="1"/>
  <c r="P138" i="1" s="1"/>
  <c r="Q138" i="1"/>
  <c r="S138" i="1" a="1"/>
  <c r="S138" i="1" s="1"/>
  <c r="T130" i="1"/>
  <c r="P130" i="1" a="1"/>
  <c r="P130" i="1" s="1"/>
  <c r="Q130" i="1"/>
  <c r="R130" i="1" a="1"/>
  <c r="R130" i="1" s="1"/>
  <c r="S130" i="1" a="1"/>
  <c r="S130" i="1" s="1"/>
  <c r="P62" i="1" a="1"/>
  <c r="P62" i="1" s="1"/>
  <c r="S62" i="1" a="1"/>
  <c r="S62" i="1" s="1"/>
  <c r="T62" i="1"/>
  <c r="Q62" i="1"/>
  <c r="R62" i="1" a="1"/>
  <c r="R62" i="1" s="1"/>
  <c r="T58" i="1"/>
  <c r="Q58" i="1"/>
  <c r="R58" i="1" a="1"/>
  <c r="R58" i="1" s="1"/>
  <c r="P58" i="1" a="1"/>
  <c r="P58" i="1" s="1"/>
  <c r="S58" i="1" a="1"/>
  <c r="S58" i="1" s="1"/>
  <c r="R132" i="1" a="1"/>
  <c r="R132" i="1" s="1"/>
  <c r="P132" i="1" a="1"/>
  <c r="P132" i="1" s="1"/>
  <c r="S132" i="1" a="1"/>
  <c r="S132" i="1" s="1"/>
  <c r="T132" i="1"/>
  <c r="Q132" i="1"/>
  <c r="T69" i="1"/>
  <c r="P69" i="1" a="1"/>
  <c r="P69" i="1" s="1"/>
  <c r="Q69" i="1"/>
  <c r="R69" i="1" a="1"/>
  <c r="R69" i="1" s="1"/>
  <c r="S69" i="1" a="1"/>
  <c r="S69" i="1" s="1"/>
  <c r="Q78" i="1"/>
  <c r="T78" i="1"/>
  <c r="S78" i="1" a="1"/>
  <c r="S78" i="1" s="1"/>
  <c r="P78" i="1" a="1"/>
  <c r="P78" i="1" s="1"/>
  <c r="R78" i="1" a="1"/>
  <c r="R78" i="1" s="1"/>
  <c r="P84" i="1" a="1"/>
  <c r="P84" i="1" s="1"/>
  <c r="T84" i="1"/>
  <c r="R84" i="1" a="1"/>
  <c r="R84" i="1" s="1"/>
  <c r="Q84" i="1"/>
  <c r="S84" i="1" a="1"/>
  <c r="S84" i="1" s="1"/>
  <c r="T101" i="1"/>
  <c r="P101" i="1" a="1"/>
  <c r="P101" i="1" s="1"/>
  <c r="R101" i="1" a="1"/>
  <c r="R101" i="1" s="1"/>
  <c r="Q101" i="1"/>
  <c r="S101" i="1" a="1"/>
  <c r="S101" i="1" s="1"/>
  <c r="R46" i="1" a="1"/>
  <c r="R46" i="1" s="1"/>
  <c r="T46" i="1"/>
  <c r="Q46" i="1"/>
  <c r="P46" i="1" a="1"/>
  <c r="P46" i="1" s="1"/>
  <c r="S46" i="1" a="1"/>
  <c r="S46" i="1" s="1"/>
  <c r="R44" i="1" a="1"/>
  <c r="R44" i="1" s="1"/>
  <c r="T44" i="1"/>
  <c r="Q44" i="1"/>
  <c r="S44" i="1" a="1"/>
  <c r="S44" i="1" s="1"/>
  <c r="P44" i="1" a="1"/>
  <c r="P44" i="1" s="1"/>
  <c r="Q50" i="1"/>
  <c r="S50" i="1" a="1"/>
  <c r="S50" i="1" s="1"/>
  <c r="R50" i="1" a="1"/>
  <c r="R50" i="1" s="1"/>
  <c r="T50" i="1"/>
  <c r="P50" i="1" a="1"/>
  <c r="P50" i="1" s="1"/>
  <c r="S113" i="1" a="1"/>
  <c r="S113" i="1" s="1"/>
  <c r="T113" i="1"/>
  <c r="P113" i="1" a="1"/>
  <c r="P113" i="1" s="1"/>
  <c r="Q113" i="1"/>
  <c r="R113" i="1" a="1"/>
  <c r="R113" i="1" s="1"/>
  <c r="R131" i="1" a="1"/>
  <c r="R131" i="1" s="1"/>
  <c r="S131" i="1" a="1"/>
  <c r="S131" i="1" s="1"/>
  <c r="P131" i="1" a="1"/>
  <c r="P131" i="1" s="1"/>
  <c r="Q131" i="1"/>
  <c r="T131" i="1"/>
  <c r="T103" i="1"/>
  <c r="Q103" i="1"/>
  <c r="P103" i="1" a="1"/>
  <c r="P103" i="1" s="1"/>
  <c r="S103" i="1" a="1"/>
  <c r="S103" i="1" s="1"/>
  <c r="R103" i="1" a="1"/>
  <c r="R103" i="1" s="1"/>
  <c r="S49" i="1" a="1"/>
  <c r="S49" i="1" s="1"/>
  <c r="T49" i="1"/>
  <c r="P49" i="1" a="1"/>
  <c r="P49" i="1" s="1"/>
  <c r="Q49" i="1"/>
  <c r="R49" i="1" a="1"/>
  <c r="R49" i="1" s="1"/>
  <c r="S120" i="1" a="1"/>
  <c r="S120" i="1" s="1"/>
  <c r="Q120" i="1"/>
  <c r="P120" i="1" a="1"/>
  <c r="P120" i="1" s="1"/>
  <c r="T120" i="1"/>
  <c r="R120" i="1" a="1"/>
  <c r="R120" i="1" s="1"/>
  <c r="P124" i="1" a="1"/>
  <c r="P124" i="1" s="1"/>
  <c r="Q124" i="1"/>
  <c r="R124" i="1" a="1"/>
  <c r="R124" i="1" s="1"/>
  <c r="S124" i="1" a="1"/>
  <c r="S124" i="1" s="1"/>
  <c r="T124" i="1"/>
  <c r="Q141" i="1"/>
  <c r="P141" i="1" a="1"/>
  <c r="P141" i="1" s="1"/>
  <c r="T141" i="1"/>
  <c r="S141" i="1" a="1"/>
  <c r="S141" i="1" s="1"/>
  <c r="R141" i="1" a="1"/>
  <c r="R141" i="1" s="1"/>
  <c r="T70" i="1"/>
  <c r="R70" i="1" a="1"/>
  <c r="R70" i="1" s="1"/>
  <c r="P70" i="1" a="1"/>
  <c r="P70" i="1" s="1"/>
  <c r="Q70" i="1"/>
  <c r="S70" i="1" a="1"/>
  <c r="S70" i="1" s="1"/>
  <c r="P67" i="1" a="1"/>
  <c r="P67" i="1" s="1"/>
  <c r="T67" i="1"/>
  <c r="R67" i="1" a="1"/>
  <c r="R67" i="1" s="1"/>
  <c r="Q67" i="1"/>
  <c r="S67" i="1" a="1"/>
  <c r="S67" i="1" s="1"/>
  <c r="R106" i="1" a="1"/>
  <c r="R106" i="1" s="1"/>
  <c r="S106" i="1" a="1"/>
  <c r="S106" i="1" s="1"/>
  <c r="Q106" i="1"/>
  <c r="P106" i="1" a="1"/>
  <c r="P106" i="1" s="1"/>
  <c r="T106" i="1"/>
  <c r="S115" i="1" a="1"/>
  <c r="S115" i="1" s="1"/>
  <c r="P115" i="1" a="1"/>
  <c r="P115" i="1" s="1"/>
  <c r="R115" i="1" a="1"/>
  <c r="R115" i="1" s="1"/>
  <c r="Q115" i="1"/>
  <c r="T115" i="1"/>
  <c r="P135" i="1" a="1"/>
  <c r="P135" i="1" s="1"/>
  <c r="T135" i="1"/>
  <c r="Q135" i="1"/>
  <c r="S135" i="1" a="1"/>
  <c r="S135" i="1" s="1"/>
  <c r="R135" i="1" a="1"/>
  <c r="R135" i="1" s="1"/>
  <c r="R89" i="1" a="1"/>
  <c r="R89" i="1" s="1"/>
  <c r="S89" i="1" a="1"/>
  <c r="S89" i="1" s="1"/>
  <c r="T89" i="1"/>
  <c r="P89" i="1" a="1"/>
  <c r="P89" i="1" s="1"/>
  <c r="Q89" i="1"/>
  <c r="P140" i="1" a="1"/>
  <c r="P140" i="1" s="1"/>
  <c r="R140" i="1" a="1"/>
  <c r="R140" i="1" s="1"/>
  <c r="T140" i="1"/>
  <c r="S140" i="1" a="1"/>
  <c r="S140" i="1" s="1"/>
  <c r="Q140" i="1"/>
  <c r="Q111" i="1"/>
  <c r="T111" i="1"/>
  <c r="P111" i="1" a="1"/>
  <c r="P111" i="1" s="1"/>
  <c r="S111" i="1" a="1"/>
  <c r="S111" i="1" s="1"/>
  <c r="R111" i="1" a="1"/>
  <c r="R111" i="1" s="1"/>
  <c r="P94" i="1" a="1"/>
  <c r="P94" i="1" s="1"/>
  <c r="R94" i="1" a="1"/>
  <c r="R94" i="1" s="1"/>
  <c r="T94" i="1"/>
  <c r="S94" i="1" a="1"/>
  <c r="S94" i="1" s="1"/>
  <c r="Q94" i="1"/>
  <c r="S54" i="1" a="1"/>
  <c r="S54" i="1" s="1"/>
  <c r="Q54" i="1"/>
  <c r="T54" i="1"/>
  <c r="P54" i="1" a="1"/>
  <c r="P54" i="1" s="1"/>
  <c r="R54" i="1" a="1"/>
  <c r="R54" i="1" s="1"/>
  <c r="P77" i="1" a="1"/>
  <c r="P77" i="1" s="1"/>
  <c r="R77" i="1" a="1"/>
  <c r="R77" i="1" s="1"/>
  <c r="S77" i="1" a="1"/>
  <c r="S77" i="1" s="1"/>
  <c r="T77" i="1"/>
  <c r="Q77" i="1"/>
  <c r="S86" i="1" a="1"/>
  <c r="S86" i="1" s="1"/>
  <c r="P86" i="1" a="1"/>
  <c r="P86" i="1" s="1"/>
  <c r="T86" i="1"/>
  <c r="R86" i="1" a="1"/>
  <c r="R86" i="1" s="1"/>
  <c r="Q86" i="1"/>
  <c r="S74" i="1" a="1"/>
  <c r="S74" i="1" s="1"/>
  <c r="P74" i="1" a="1"/>
  <c r="P74" i="1" s="1"/>
  <c r="T74" i="1"/>
  <c r="Q74" i="1"/>
  <c r="R74" i="1" a="1"/>
  <c r="R74" i="1" s="1"/>
  <c r="P85" i="1" a="1"/>
  <c r="P85" i="1" s="1"/>
  <c r="Q85" i="1"/>
  <c r="T85" i="1"/>
  <c r="R85" i="1" a="1"/>
  <c r="R85" i="1" s="1"/>
  <c r="S85" i="1" a="1"/>
  <c r="S85" i="1" s="1"/>
  <c r="Q100" i="1"/>
  <c r="P100" i="1" a="1"/>
  <c r="P100" i="1" s="1"/>
  <c r="R100" i="1" a="1"/>
  <c r="R100" i="1" s="1"/>
  <c r="T100" i="1"/>
  <c r="S100" i="1" a="1"/>
  <c r="S100" i="1" s="1"/>
  <c r="S68" i="1" a="1"/>
  <c r="S68" i="1" s="1"/>
  <c r="R68" i="1" a="1"/>
  <c r="R68" i="1" s="1"/>
  <c r="P68" i="1" a="1"/>
  <c r="P68" i="1" s="1"/>
  <c r="T68" i="1"/>
  <c r="Q68" i="1"/>
  <c r="P133" i="1" a="1"/>
  <c r="P133" i="1" s="1"/>
  <c r="S133" i="1" a="1"/>
  <c r="S133" i="1" s="1"/>
  <c r="R133" i="1" a="1"/>
  <c r="R133" i="1" s="1"/>
  <c r="T133" i="1"/>
  <c r="Q133" i="1"/>
  <c r="R125" i="1" a="1"/>
  <c r="R125" i="1" s="1"/>
  <c r="S125" i="1" a="1"/>
  <c r="S125" i="1" s="1"/>
  <c r="T125" i="1"/>
  <c r="Q125" i="1"/>
  <c r="P125" i="1" a="1"/>
  <c r="P125" i="1" s="1"/>
  <c r="P129" i="1" a="1"/>
  <c r="P129" i="1" s="1"/>
  <c r="R129" i="1" a="1"/>
  <c r="R129" i="1" s="1"/>
  <c r="S129" i="1" a="1"/>
  <c r="S129" i="1" s="1"/>
  <c r="T129" i="1"/>
  <c r="Q129" i="1"/>
  <c r="R65" i="1" a="1"/>
  <c r="R65" i="1" s="1"/>
  <c r="S65" i="1" a="1"/>
  <c r="S65" i="1" s="1"/>
  <c r="T65" i="1"/>
  <c r="Q65" i="1"/>
  <c r="P65" i="1" a="1"/>
  <c r="P65" i="1" s="1"/>
  <c r="P71" i="1" a="1"/>
  <c r="P71" i="1" s="1"/>
  <c r="R71" i="1" a="1"/>
  <c r="R71" i="1" s="1"/>
  <c r="S71" i="1" a="1"/>
  <c r="S71" i="1" s="1"/>
  <c r="T71" i="1"/>
  <c r="Q71" i="1"/>
  <c r="T55" i="1"/>
  <c r="S55" i="1" a="1"/>
  <c r="S55" i="1" s="1"/>
  <c r="Q55" i="1"/>
  <c r="P55" i="1" a="1"/>
  <c r="P55" i="1" s="1"/>
  <c r="R55" i="1" a="1"/>
  <c r="R55" i="1" s="1"/>
  <c r="Q105" i="1"/>
  <c r="T105" i="1"/>
  <c r="R105" i="1" a="1"/>
  <c r="R105" i="1" s="1"/>
  <c r="S105" i="1" a="1"/>
  <c r="S105" i="1" s="1"/>
  <c r="P105" i="1" a="1"/>
  <c r="P105" i="1" s="1"/>
  <c r="R40" i="1" a="1"/>
  <c r="R40" i="1" s="1"/>
  <c r="T40" i="1"/>
  <c r="Q40" i="1"/>
  <c r="S40" i="1" a="1"/>
  <c r="S40" i="1" s="1"/>
  <c r="P40" i="1" a="1"/>
  <c r="P40" i="1" s="1"/>
  <c r="Q116" i="1"/>
  <c r="P116" i="1" a="1"/>
  <c r="P116" i="1" s="1"/>
  <c r="T116" i="1"/>
  <c r="R116" i="1" a="1"/>
  <c r="R116" i="1" s="1"/>
  <c r="S116" i="1" a="1"/>
  <c r="S116" i="1" s="1"/>
  <c r="R107" i="1" a="1"/>
  <c r="R107" i="1" s="1"/>
  <c r="S107" i="1" a="1"/>
  <c r="S107" i="1" s="1"/>
  <c r="T107" i="1"/>
  <c r="Q107" i="1"/>
  <c r="P107" i="1" a="1"/>
  <c r="P107" i="1" s="1"/>
  <c r="R48" i="1" a="1"/>
  <c r="R48" i="1" s="1"/>
  <c r="S48" i="1" a="1"/>
  <c r="S48" i="1" s="1"/>
  <c r="T48" i="1"/>
  <c r="P48" i="1" a="1"/>
  <c r="P48" i="1" s="1"/>
  <c r="Q48" i="1"/>
  <c r="R136" i="1" a="1"/>
  <c r="R136" i="1" s="1"/>
  <c r="T136" i="1"/>
  <c r="S136" i="1" a="1"/>
  <c r="S136" i="1" s="1"/>
  <c r="Q136" i="1"/>
  <c r="P136" i="1" a="1"/>
  <c r="P136" i="1" s="1"/>
  <c r="S87" i="1" a="1"/>
  <c r="S87" i="1" s="1"/>
  <c r="T87" i="1"/>
  <c r="P87" i="1" a="1"/>
  <c r="P87" i="1" s="1"/>
  <c r="Q87" i="1"/>
  <c r="R87" i="1" a="1"/>
  <c r="R87" i="1" s="1"/>
  <c r="P82" i="1" a="1"/>
  <c r="P82" i="1" s="1"/>
  <c r="S82" i="1" a="1"/>
  <c r="S82" i="1" s="1"/>
  <c r="Q82" i="1"/>
  <c r="T82" i="1"/>
  <c r="R82" i="1" a="1"/>
  <c r="R82" i="1" s="1"/>
  <c r="T56" i="1"/>
  <c r="S56" i="1" a="1"/>
  <c r="S56" i="1" s="1"/>
  <c r="R56" i="1" a="1"/>
  <c r="R56" i="1" s="1"/>
  <c r="P56" i="1" a="1"/>
  <c r="P56" i="1" s="1"/>
  <c r="Q56" i="1"/>
  <c r="S57" i="1" a="1"/>
  <c r="S57" i="1" s="1"/>
  <c r="T57" i="1"/>
  <c r="Q57" i="1"/>
  <c r="P57" i="1" a="1"/>
  <c r="P57" i="1" s="1"/>
  <c r="R57" i="1" a="1"/>
  <c r="R57" i="1" s="1"/>
  <c r="R81" i="1" a="1"/>
  <c r="R81" i="1" s="1"/>
  <c r="P81" i="1" a="1"/>
  <c r="P81" i="1" s="1"/>
  <c r="Q81" i="1"/>
  <c r="S81" i="1" a="1"/>
  <c r="S81" i="1" s="1"/>
  <c r="T81" i="1"/>
  <c r="Q83" i="1"/>
  <c r="T83" i="1"/>
  <c r="S83" i="1" a="1"/>
  <c r="S83" i="1" s="1"/>
  <c r="R83" i="1" a="1"/>
  <c r="R83" i="1" s="1"/>
  <c r="P83" i="1" a="1"/>
  <c r="P83" i="1" s="1"/>
  <c r="T72" i="1"/>
  <c r="S72" i="1" a="1"/>
  <c r="S72" i="1" s="1"/>
  <c r="R72" i="1" a="1"/>
  <c r="R72" i="1" s="1"/>
  <c r="P72" i="1" a="1"/>
  <c r="P72" i="1" s="1"/>
  <c r="Q72" i="1"/>
  <c r="S117" i="1" a="1"/>
  <c r="S117" i="1" s="1"/>
  <c r="T117" i="1"/>
  <c r="Q117" i="1"/>
  <c r="P117" i="1" a="1"/>
  <c r="P117" i="1" s="1"/>
  <c r="R117" i="1" a="1"/>
  <c r="R117" i="1" s="1"/>
  <c r="T45" i="1"/>
  <c r="P45" i="1" a="1"/>
  <c r="P45" i="1" s="1"/>
  <c r="Q45" i="1"/>
  <c r="R45" i="1" a="1"/>
  <c r="R45" i="1" s="1"/>
  <c r="S45" i="1" a="1"/>
  <c r="S45" i="1" s="1"/>
  <c r="R110" i="1" a="1"/>
  <c r="R110" i="1" s="1"/>
  <c r="S110" i="1" a="1"/>
  <c r="S110" i="1" s="1"/>
  <c r="P110" i="1" a="1"/>
  <c r="P110" i="1" s="1"/>
  <c r="T110" i="1"/>
  <c r="Q110" i="1"/>
  <c r="T139" i="1"/>
  <c r="P139" i="1" a="1"/>
  <c r="P139" i="1" s="1"/>
  <c r="Q139" i="1"/>
  <c r="S139" i="1" a="1"/>
  <c r="S139" i="1" s="1"/>
  <c r="R139" i="1" a="1"/>
  <c r="R139" i="1" s="1"/>
  <c r="Q123" i="1"/>
  <c r="P123" i="1" a="1"/>
  <c r="P123" i="1" s="1"/>
  <c r="R123" i="1" a="1"/>
  <c r="R123" i="1" s="1"/>
  <c r="S123" i="1" a="1"/>
  <c r="S123" i="1" s="1"/>
  <c r="T123" i="1"/>
  <c r="T90" i="1"/>
  <c r="Q90" i="1"/>
  <c r="R90" i="1" a="1"/>
  <c r="R90" i="1" s="1"/>
  <c r="S90" i="1" a="1"/>
  <c r="S90" i="1" s="1"/>
  <c r="P90" i="1" a="1"/>
  <c r="P90" i="1" s="1"/>
  <c r="P104" i="1" a="1"/>
  <c r="P104" i="1" s="1"/>
  <c r="S104" i="1" a="1"/>
  <c r="S104" i="1" s="1"/>
  <c r="R104" i="1" a="1"/>
  <c r="R104" i="1" s="1"/>
  <c r="T104" i="1"/>
  <c r="Q104" i="1"/>
  <c r="R122" i="1" a="1"/>
  <c r="R122" i="1" s="1"/>
  <c r="P122" i="1" a="1"/>
  <c r="P122" i="1" s="1"/>
  <c r="S122" i="1" a="1"/>
  <c r="S122" i="1" s="1"/>
  <c r="T122" i="1"/>
  <c r="Q122" i="1"/>
  <c r="T75" i="1"/>
  <c r="Q75" i="1"/>
  <c r="P75" i="1" a="1"/>
  <c r="P75" i="1" s="1"/>
  <c r="R75" i="1" a="1"/>
  <c r="R75" i="1" s="1"/>
  <c r="S75" i="1" a="1"/>
  <c r="S75" i="1" s="1"/>
  <c r="Q61" i="1"/>
  <c r="R61" i="1" a="1"/>
  <c r="R61" i="1" s="1"/>
  <c r="S61" i="1" a="1"/>
  <c r="S61" i="1" s="1"/>
  <c r="P61" i="1" a="1"/>
  <c r="P61" i="1" s="1"/>
  <c r="T61" i="1"/>
  <c r="P80" i="1" a="1"/>
  <c r="P80" i="1" s="1"/>
  <c r="R80" i="1" a="1"/>
  <c r="R80" i="1" s="1"/>
  <c r="Q80" i="1"/>
  <c r="T80" i="1"/>
  <c r="S80" i="1" a="1"/>
  <c r="S80" i="1" s="1"/>
  <c r="R53" i="1" a="1"/>
  <c r="R53" i="1" s="1"/>
  <c r="S53" i="1" a="1"/>
  <c r="S53" i="1" s="1"/>
  <c r="T53" i="1"/>
  <c r="P53" i="1" a="1"/>
  <c r="P53" i="1" s="1"/>
  <c r="Q53" i="1"/>
  <c r="R66" i="1" a="1"/>
  <c r="R66" i="1" s="1"/>
  <c r="T66" i="1"/>
  <c r="S66" i="1" a="1"/>
  <c r="S66" i="1" s="1"/>
  <c r="Q66" i="1"/>
  <c r="P66" i="1" a="1"/>
  <c r="P66" i="1" s="1"/>
  <c r="S92" i="1" a="1"/>
  <c r="S92" i="1" s="1"/>
  <c r="Q92" i="1"/>
  <c r="R92" i="1" a="1"/>
  <c r="R92" i="1" s="1"/>
  <c r="P92" i="1" a="1"/>
  <c r="P92" i="1" s="1"/>
  <c r="T92" i="1"/>
  <c r="Q121" i="1"/>
  <c r="P121" i="1" a="1"/>
  <c r="P121" i="1" s="1"/>
  <c r="T121" i="1"/>
  <c r="R121" i="1" a="1"/>
  <c r="R121" i="1" s="1"/>
  <c r="S121" i="1" a="1"/>
  <c r="S121" i="1" s="1"/>
  <c r="R79" i="1" a="1"/>
  <c r="R79" i="1" s="1"/>
  <c r="S79" i="1" a="1"/>
  <c r="S79" i="1" s="1"/>
  <c r="Q79" i="1"/>
  <c r="P79" i="1" a="1"/>
  <c r="P79" i="1" s="1"/>
  <c r="T79" i="1"/>
</calcChain>
</file>

<file path=xl/sharedStrings.xml><?xml version="1.0" encoding="utf-8"?>
<sst xmlns="http://schemas.openxmlformats.org/spreadsheetml/2006/main" count="306" uniqueCount="225">
  <si>
    <t>Mu</t>
  </si>
  <si>
    <t>LB</t>
  </si>
  <si>
    <t>UB</t>
  </si>
  <si>
    <t>Covariance</t>
  </si>
  <si>
    <t>Total</t>
  </si>
  <si>
    <t>Constraints</t>
  </si>
  <si>
    <t>Limits</t>
  </si>
  <si>
    <t>Lower Bound</t>
  </si>
  <si>
    <t>Upper Bound</t>
  </si>
  <si>
    <t>Min Risk</t>
  </si>
  <si>
    <t>Max Return</t>
  </si>
  <si>
    <t>Frontier</t>
  </si>
  <si>
    <t>Volatility</t>
  </si>
  <si>
    <t>Return</t>
  </si>
  <si>
    <t>Port Wgt</t>
  </si>
  <si>
    <t>Asset 1</t>
  </si>
  <si>
    <t>Asset 2</t>
  </si>
  <si>
    <t>Asset 3</t>
  </si>
  <si>
    <t>Asset 4</t>
  </si>
  <si>
    <t>Asset 5</t>
  </si>
  <si>
    <t>Asset 6</t>
  </si>
  <si>
    <t>Asset 7</t>
  </si>
  <si>
    <t>Asset 8</t>
  </si>
  <si>
    <t>Asset 9</t>
  </si>
  <si>
    <t>Asset 10</t>
  </si>
  <si>
    <t>Specific Return</t>
  </si>
  <si>
    <t>Self Check</t>
  </si>
  <si>
    <t>correct</t>
  </si>
  <si>
    <t xml:space="preserve">Vol is </t>
  </si>
  <si>
    <t xml:space="preserve">Return is </t>
  </si>
  <si>
    <t xml:space="preserve">bounds on wgt </t>
  </si>
  <si>
    <t>are satisfied</t>
  </si>
  <si>
    <t>bounds on grp</t>
  </si>
  <si>
    <t>Wgts sum to 1</t>
  </si>
  <si>
    <t>Group A</t>
  </si>
  <si>
    <t>Group B</t>
  </si>
  <si>
    <t>Group C</t>
  </si>
  <si>
    <t>Group D</t>
  </si>
  <si>
    <t>Daily Return</t>
  </si>
  <si>
    <t>Date</t>
  </si>
  <si>
    <t>Specific Return (calc covar from prices)</t>
  </si>
  <si>
    <t>strType</t>
  </si>
  <si>
    <t>MAX_RETURN</t>
  </si>
  <si>
    <t>MIN_RISK</t>
  </si>
  <si>
    <t>TGT_RETURN</t>
  </si>
  <si>
    <t>show_wgt</t>
  </si>
  <si>
    <t>100 x N array of portfolio weights</t>
  </si>
  <si>
    <t>length N vector of portfolio weights</t>
  </si>
  <si>
    <t>100 x 2 array of volatility and return</t>
  </si>
  <si>
    <t>length 2 vector of volatility and return</t>
  </si>
  <si>
    <t>Output type of different</t>
  </si>
  <si>
    <t>strType and showWgt value</t>
  </si>
  <si>
    <t>calc_covar</t>
  </si>
  <si>
    <t>when set to TRUE, covar_mat should be inputed as a time series of multi-assets returns, from which a sample covariance matrix is estimated</t>
  </si>
  <si>
    <t>points to return from the frontier</t>
  </si>
  <si>
    <t>when set to TURE, portfolio weights are return. Default is FALSE and returns risk-return value</t>
  </si>
  <si>
    <t>tgt_return</t>
  </si>
  <si>
    <t>single value of volatility</t>
  </si>
  <si>
    <t>when strType is "TGT_RETURN", this should be set to desired return value</t>
  </si>
  <si>
    <t>Arguments</t>
  </si>
  <si>
    <t>Meaning</t>
  </si>
  <si>
    <t>Optional</t>
  </si>
  <si>
    <t>covar_mat</t>
  </si>
  <si>
    <t>NxN covariance matrix</t>
  </si>
  <si>
    <t>x_mu</t>
  </si>
  <si>
    <t>Nx1 expected return</t>
  </si>
  <si>
    <t>x_l</t>
  </si>
  <si>
    <t>Nx1 lower bounds on individual weights</t>
  </si>
  <si>
    <t>x_u</t>
  </si>
  <si>
    <t>Nx1 upper bounds on individual weights</t>
  </si>
  <si>
    <t>NxM matrix of linear constraints</t>
  </si>
  <si>
    <t>group_l</t>
  </si>
  <si>
    <t>1xM lower bounds linear constraints</t>
  </si>
  <si>
    <t>group_u</t>
  </si>
  <si>
    <t>1xM upper bounds linear constraints</t>
  </si>
  <si>
    <t>Outputs</t>
  </si>
  <si>
    <t>FALSE (default)</t>
  </si>
  <si>
    <t>CURVE (default)</t>
  </si>
  <si>
    <t>Function EfficientFrontier3(covar_mat, x_mu, x_l, x_u, group_matrix, group_l, group_u, Optional strType = "CURVE", Optional show_wgt As Boolean = False,  Optional calc_covar As Boolean = False, Optional tgt_return As Double = 0)</t>
  </si>
  <si>
    <t>Covariance from raw data (FOR CHECKING PURPOSE)</t>
  </si>
  <si>
    <t>Structure of Modules</t>
  </si>
  <si>
    <t>mQPSolve - General module using interior point method for quadratic optimization</t>
  </si>
  <si>
    <t>mSimplex - General module using simplex method for linear programing</t>
  </si>
  <si>
    <t>modMath - module with commonly used math functions (can be merged into main code)</t>
  </si>
  <si>
    <t>mEF_Function - Contains the maind user defined function</t>
  </si>
  <si>
    <t>SWIX</t>
  </si>
  <si>
    <t>Structured Equity</t>
  </si>
  <si>
    <t>Property</t>
  </si>
  <si>
    <t>ILB</t>
  </si>
  <si>
    <t>Bonds</t>
  </si>
  <si>
    <t>Cash</t>
  </si>
  <si>
    <t>Global Equities</t>
  </si>
  <si>
    <t>Global Bonds</t>
  </si>
  <si>
    <t>USDZAR</t>
  </si>
  <si>
    <t>Hedge Funds</t>
  </si>
  <si>
    <t>Constraints Simplex Tableau Matrix</t>
  </si>
  <si>
    <t>Total Equities</t>
  </si>
  <si>
    <t>&gt;=</t>
  </si>
  <si>
    <t>&lt;=</t>
  </si>
  <si>
    <t>Total Foreign</t>
  </si>
  <si>
    <t>DOWN BETA</t>
  </si>
  <si>
    <t>UP BETA</t>
  </si>
  <si>
    <t>Mean</t>
  </si>
  <si>
    <t>&lt;100</t>
  </si>
  <si>
    <t>&gt;0</t>
  </si>
  <si>
    <t>group_matrix</t>
  </si>
  <si>
    <t/>
  </si>
  <si>
    <t>Efficient 101</t>
  </si>
  <si>
    <t>Efficient 100</t>
  </si>
  <si>
    <t>Efficient 99</t>
  </si>
  <si>
    <t>Efficient 98</t>
  </si>
  <si>
    <t>Efficient 97</t>
  </si>
  <si>
    <t>Efficient 96</t>
  </si>
  <si>
    <t>Efficient 95</t>
  </si>
  <si>
    <t>Efficient 94</t>
  </si>
  <si>
    <t>Efficient 93</t>
  </si>
  <si>
    <t>Efficient 92</t>
  </si>
  <si>
    <t>Efficient 91</t>
  </si>
  <si>
    <t>Efficient 90</t>
  </si>
  <si>
    <t>Efficient 89</t>
  </si>
  <si>
    <t>Efficient 88</t>
  </si>
  <si>
    <t>Efficient 87</t>
  </si>
  <si>
    <t>Efficient 86</t>
  </si>
  <si>
    <t>Efficient 85</t>
  </si>
  <si>
    <t>Efficient 84</t>
  </si>
  <si>
    <t>Efficient 83</t>
  </si>
  <si>
    <t>Efficient 82</t>
  </si>
  <si>
    <t>Efficient 81</t>
  </si>
  <si>
    <t>Efficient 80</t>
  </si>
  <si>
    <t>Efficient 79</t>
  </si>
  <si>
    <t>Efficient 78</t>
  </si>
  <si>
    <t>Efficient 77</t>
  </si>
  <si>
    <t>Efficient 76</t>
  </si>
  <si>
    <t>Efficient 75</t>
  </si>
  <si>
    <t>Efficient 74</t>
  </si>
  <si>
    <t>Efficient 73</t>
  </si>
  <si>
    <t>Efficient 72</t>
  </si>
  <si>
    <t>Efficient 71</t>
  </si>
  <si>
    <t>Efficient 70</t>
  </si>
  <si>
    <t>Efficient 69</t>
  </si>
  <si>
    <t>Efficient 68</t>
  </si>
  <si>
    <t>Efficient 67</t>
  </si>
  <si>
    <t>Efficient 66</t>
  </si>
  <si>
    <t>Efficient 65</t>
  </si>
  <si>
    <t>Efficient 64</t>
  </si>
  <si>
    <t>Efficient 63</t>
  </si>
  <si>
    <t>Efficient 62</t>
  </si>
  <si>
    <t>Efficient 61</t>
  </si>
  <si>
    <t>Efficient 60</t>
  </si>
  <si>
    <t>Efficient 59</t>
  </si>
  <si>
    <t>Efficient 58</t>
  </si>
  <si>
    <t>Efficient 57</t>
  </si>
  <si>
    <t>Efficient 56</t>
  </si>
  <si>
    <t>Efficient 55</t>
  </si>
  <si>
    <t>Efficient 54</t>
  </si>
  <si>
    <t>Efficient 53</t>
  </si>
  <si>
    <t>Efficient 52</t>
  </si>
  <si>
    <t>Efficient 51</t>
  </si>
  <si>
    <t>Efficient 50</t>
  </si>
  <si>
    <t>Efficient 49</t>
  </si>
  <si>
    <t>Efficient 48</t>
  </si>
  <si>
    <t>Efficient 47</t>
  </si>
  <si>
    <t>Efficient 46</t>
  </si>
  <si>
    <t>Efficient 45</t>
  </si>
  <si>
    <t>Efficient 44</t>
  </si>
  <si>
    <t>Efficient 43</t>
  </si>
  <si>
    <t>Efficient 42</t>
  </si>
  <si>
    <t>Efficient 41</t>
  </si>
  <si>
    <t>Efficient 40</t>
  </si>
  <si>
    <t>Efficient 39</t>
  </si>
  <si>
    <t>Efficient 38</t>
  </si>
  <si>
    <t>Efficient 37</t>
  </si>
  <si>
    <t>Efficient 36</t>
  </si>
  <si>
    <t>Efficient 35</t>
  </si>
  <si>
    <t>Efficient 34</t>
  </si>
  <si>
    <t>Efficient 33</t>
  </si>
  <si>
    <t>Efficient 32</t>
  </si>
  <si>
    <t>Efficient 31</t>
  </si>
  <si>
    <t>Efficient 30</t>
  </si>
  <si>
    <t>Efficient 29</t>
  </si>
  <si>
    <t>Efficient 28</t>
  </si>
  <si>
    <t>Efficient 27</t>
  </si>
  <si>
    <t>Efficient 26</t>
  </si>
  <si>
    <t>Efficient 25</t>
  </si>
  <si>
    <t>Efficient 24</t>
  </si>
  <si>
    <t>Efficient 23</t>
  </si>
  <si>
    <t>Efficient 22</t>
  </si>
  <si>
    <t>Efficient 21</t>
  </si>
  <si>
    <t>Efficient 20</t>
  </si>
  <si>
    <t>Efficient 19</t>
  </si>
  <si>
    <t>Efficient 18</t>
  </si>
  <si>
    <t>Efficient 17</t>
  </si>
  <si>
    <t>Efficient 16</t>
  </si>
  <si>
    <t>Efficient 15</t>
  </si>
  <si>
    <t>Efficient 14</t>
  </si>
  <si>
    <t>Efficient 13</t>
  </si>
  <si>
    <t>Efficient 12</t>
  </si>
  <si>
    <t>Efficient 11</t>
  </si>
  <si>
    <t>Efficient 10</t>
  </si>
  <si>
    <t>Efficient 9</t>
  </si>
  <si>
    <t>Efficient 8</t>
  </si>
  <si>
    <t>Efficient 7</t>
  </si>
  <si>
    <t>Efficient 6</t>
  </si>
  <si>
    <t>Efficient 5</t>
  </si>
  <si>
    <t>Efficient 4</t>
  </si>
  <si>
    <t>Efficient 3</t>
  </si>
  <si>
    <t>Efficient 2</t>
  </si>
  <si>
    <t>Efficient 1</t>
  </si>
  <si>
    <t>Maximum Return</t>
  </si>
  <si>
    <t>Maximum Sharpe</t>
  </si>
  <si>
    <t>Minimum Volatility</t>
  </si>
  <si>
    <t>Results from Peter's File</t>
  </si>
  <si>
    <t>Efficient Frontier</t>
  </si>
  <si>
    <t>A</t>
  </si>
  <si>
    <t>B</t>
  </si>
  <si>
    <t>x0</t>
  </si>
  <si>
    <t>Q</t>
  </si>
  <si>
    <t>s</t>
  </si>
  <si>
    <t>mu</t>
  </si>
  <si>
    <t>lambda</t>
  </si>
  <si>
    <t>f1(1)=0.625, 0.1875, -2</t>
  </si>
  <si>
    <t>f1(2)=1.625, 0.1875, -2</t>
  </si>
  <si>
    <t>Qx-q+Alambda</t>
  </si>
  <si>
    <t>S</t>
  </si>
  <si>
    <t>MU x-1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</si>
</sst>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 * #,##0.00_ ;_ * \-#,##0.00_ ;_ * &quot;-&quot;??_ ;_ @_ "/>
    <numFmt numFmtId="165" formatCode="_ * #,##0_ ;_ * \-#,##0_ ;_ * &quot;-&quot;??_ ;_ @_ "/>
    <numFmt numFmtId="166" formatCode="0.0%"/>
    <numFmt numFmtId="167" formatCode="0.000000"/>
  </numFmts>
  <fonts count="11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 Narrow"/>
      <family val="2"/>
      <scheme val="minor"/>
    </font>
    <font>
      <b/>
      <sz val="10"/>
      <color rgb="FF0000FF"/>
      <name val="Arial Narrow"/>
      <family val="2"/>
      <scheme val="minor"/>
    </font>
    <font>
      <b/>
      <sz val="10"/>
      <color rgb="FFFF0000"/>
      <name val="Arial Narrow"/>
      <family val="2"/>
      <scheme val="minor"/>
    </font>
    <font>
      <sz val="10"/>
      <color theme="4" tint="0.3999755851924192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i/>
      <sz val="8"/>
      <color rgb="FFFF0000"/>
      <name val="Arial"/>
      <family val="2"/>
    </font>
    <font>
      <b/>
      <sz val="11"/>
      <color theme="1"/>
      <name val="Arial Narrow"/>
      <family val="2"/>
      <scheme val="minor"/>
    </font>
    <font>
      <b/>
      <sz val="11"/>
      <color rgb="FF0000FF"/>
      <name val="Arial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6">
    <xf numFmtId="0" fontId="0" fillId="0" borderId="0" xfId="0"/>
    <xf numFmtId="10" fontId="0" fillId="0" borderId="0" xfId="1" applyNumberFormat="1" applyFont="1" applyAlignment="1">
      <alignment horizontal="center" vertical="center"/>
    </xf>
    <xf numFmtId="164" fontId="2" fillId="0" borderId="0" xfId="0" applyNumberFormat="1" applyFont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10" fontId="2" fillId="0" borderId="0" xfId="0" applyNumberFormat="1" applyFont="1" applyAlignment="1">
      <alignment horizontal="left" vertical="center"/>
    </xf>
    <xf numFmtId="10" fontId="3" fillId="0" borderId="0" xfId="1" applyNumberFormat="1" applyFont="1" applyAlignment="1">
      <alignment horizontal="center" vertical="center"/>
    </xf>
    <xf numFmtId="10" fontId="4" fillId="0" borderId="0" xfId="1" applyNumberFormat="1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65" fontId="2" fillId="0" borderId="0" xfId="0" applyNumberFormat="1" applyFont="1" applyAlignment="1">
      <alignment horizontal="left" vertical="center"/>
    </xf>
    <xf numFmtId="166" fontId="0" fillId="0" borderId="0" xfId="0" applyNumberFormat="1" applyFont="1" applyAlignment="1">
      <alignment horizontal="center" vertical="center"/>
    </xf>
    <xf numFmtId="166" fontId="4" fillId="0" borderId="0" xfId="0" applyNumberFormat="1" applyFont="1" applyAlignment="1">
      <alignment horizontal="center" vertical="center"/>
    </xf>
    <xf numFmtId="9" fontId="4" fillId="0" borderId="0" xfId="1" applyFont="1" applyAlignment="1">
      <alignment horizontal="center" vertical="center"/>
    </xf>
    <xf numFmtId="166" fontId="5" fillId="0" borderId="1" xfId="1" applyNumberFormat="1" applyFont="1" applyBorder="1"/>
    <xf numFmtId="166" fontId="5" fillId="0" borderId="2" xfId="1" applyNumberFormat="1" applyFont="1" applyBorder="1"/>
    <xf numFmtId="166" fontId="5" fillId="0" borderId="3" xfId="1" applyNumberFormat="1" applyFont="1" applyBorder="1"/>
    <xf numFmtId="166" fontId="5" fillId="0" borderId="4" xfId="1" applyNumberFormat="1" applyFont="1" applyBorder="1"/>
    <xf numFmtId="166" fontId="5" fillId="0" borderId="5" xfId="1" applyNumberFormat="1" applyFont="1" applyBorder="1"/>
    <xf numFmtId="166" fontId="5" fillId="0" borderId="6" xfId="1" applyNumberFormat="1" applyFont="1" applyBorder="1"/>
    <xf numFmtId="166" fontId="5" fillId="0" borderId="7" xfId="1" applyNumberFormat="1" applyFont="1" applyBorder="1"/>
    <xf numFmtId="166" fontId="5" fillId="0" borderId="8" xfId="1" applyNumberFormat="1" applyFont="1" applyBorder="1"/>
    <xf numFmtId="166" fontId="5" fillId="0" borderId="9" xfId="1" applyNumberFormat="1" applyFont="1" applyBorder="1"/>
    <xf numFmtId="166" fontId="5" fillId="0" borderId="10" xfId="1" applyNumberFormat="1" applyFont="1" applyBorder="1"/>
    <xf numFmtId="166" fontId="5" fillId="0" borderId="0" xfId="1" applyNumberFormat="1" applyFont="1" applyBorder="1"/>
    <xf numFmtId="166" fontId="5" fillId="0" borderId="11" xfId="1" applyNumberFormat="1" applyFont="1" applyBorder="1"/>
    <xf numFmtId="0" fontId="7" fillId="0" borderId="0" xfId="0" applyFont="1"/>
    <xf numFmtId="0" fontId="8" fillId="0" borderId="0" xfId="0" applyFont="1"/>
    <xf numFmtId="166" fontId="5" fillId="0" borderId="12" xfId="1" applyNumberFormat="1" applyFont="1" applyBorder="1"/>
    <xf numFmtId="0" fontId="0" fillId="0" borderId="0" xfId="0" applyBorder="1"/>
    <xf numFmtId="9" fontId="6" fillId="0" borderId="0" xfId="0" applyNumberFormat="1" applyFont="1" applyBorder="1" applyAlignment="1">
      <alignment horizontal="center"/>
    </xf>
    <xf numFmtId="9" fontId="6" fillId="0" borderId="6" xfId="0" applyNumberFormat="1" applyFont="1" applyBorder="1" applyAlignment="1">
      <alignment horizontal="center"/>
    </xf>
    <xf numFmtId="14" fontId="0" fillId="0" borderId="0" xfId="0" applyNumberFormat="1"/>
    <xf numFmtId="0" fontId="6" fillId="0" borderId="0" xfId="0" applyFont="1"/>
    <xf numFmtId="166" fontId="0" fillId="0" borderId="0" xfId="1" applyNumberFormat="1" applyFont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0" xfId="0" applyAlignment="1"/>
    <xf numFmtId="0" fontId="6" fillId="0" borderId="0" xfId="0" applyFont="1" applyAlignment="1"/>
    <xf numFmtId="10" fontId="7" fillId="0" borderId="0" xfId="1" applyNumberFormat="1" applyFont="1"/>
    <xf numFmtId="164" fontId="0" fillId="0" borderId="0" xfId="0" applyNumberFormat="1"/>
    <xf numFmtId="167" fontId="0" fillId="0" borderId="0" xfId="0" applyNumberFormat="1"/>
    <xf numFmtId="0" fontId="9" fillId="0" borderId="0" xfId="0" applyFont="1"/>
    <xf numFmtId="9" fontId="0" fillId="0" borderId="0" xfId="0" applyNumberFormat="1"/>
    <xf numFmtId="2" fontId="10" fillId="0" borderId="0" xfId="0" applyNumberFormat="1" applyFont="1"/>
    <xf numFmtId="9" fontId="0" fillId="0" borderId="0" xfId="1" applyFont="1"/>
    <xf numFmtId="0" fontId="0" fillId="0" borderId="0" xfId="0" quotePrefix="1"/>
    <xf numFmtId="11" fontId="0" fillId="0" borderId="0" xfId="0" applyNumberFormat="1"/>
    <xf numFmtId="166" fontId="5" fillId="0" borderId="4" xfId="1" quotePrefix="1" applyNumberFormat="1" applyFont="1" applyBorder="1"/>
    <xf numFmtId="166" fontId="5" fillId="0" borderId="5" xfId="1" quotePrefix="1" applyNumberFormat="1" applyFont="1" applyBorder="1"/>
    <xf numFmtId="166" fontId="5" fillId="0" borderId="6" xfId="1" quotePrefix="1" applyNumberFormat="1" applyFont="1" applyBorder="1"/>
    <xf numFmtId="166" fontId="5" fillId="0" borderId="7" xfId="1" quotePrefix="1" applyNumberFormat="1" applyFont="1" applyBorder="1"/>
    <xf numFmtId="166" fontId="5" fillId="0" borderId="8" xfId="1" quotePrefix="1" applyNumberFormat="1" applyFont="1" applyBorder="1"/>
    <xf numFmtId="166" fontId="5" fillId="0" borderId="9" xfId="1" quotePrefix="1" applyNumberFormat="1" applyFont="1" applyBorder="1"/>
    <xf numFmtId="0" fontId="0" fillId="0" borderId="0" xfId="0" applyFont="1" applyAlignment="1">
      <alignment wrapText="1"/>
    </xf>
    <xf numFmtId="0" fontId="0" fillId="0" borderId="0" xfId="0" applyAlignment="1">
      <alignment wrapText="1"/>
    </xf>
  </cellXfs>
  <cellStyles count="2">
    <cellStyle name="Normal" xfId="0" builtinId="0"/>
    <cellStyle name="Percent" xfId="1" builtinId="5"/>
  </cellStyles>
  <dxfs count="8">
    <dxf>
      <numFmt numFmtId="164" formatCode="_ * #,##0.00_ ;_ * \-#,##0.00_ ;_ * &quot;-&quot;??_ ;_ @_ "/>
    </dxf>
    <dxf>
      <numFmt numFmtId="164" formatCode="_ * #,##0.00_ ;_ * \-#,##0.00_ ;_ * &quot;-&quot;??_ ;_ @_ "/>
    </dxf>
    <dxf>
      <numFmt numFmtId="164" formatCode="_ * #,##0.00_ ;_ * \-#,##0.00_ ;_ * &quot;-&quot;??_ ;_ @_ "/>
    </dxf>
    <dxf>
      <numFmt numFmtId="164" formatCode="_ * #,##0.00_ ;_ * \-#,##0.00_ ;_ * &quot;-&quot;??_ ;_ @_ "/>
    </dxf>
    <dxf>
      <numFmt numFmtId="164" formatCode="_ * #,##0.00_ ;_ * \-#,##0.00_ ;_ * &quot;-&quot;??_ ;_ @_ "/>
    </dxf>
    <dxf>
      <numFmt numFmtId="164" formatCode="_ * #,##0.00_ ;_ * \-#,##0.00_ ;_ * &quot;-&quot;??_ ;_ @_ "/>
    </dxf>
    <dxf>
      <numFmt numFmtId="164" formatCode="_ * #,##0.00_ ;_ * \-#,##0.00_ ;_ * &quot;-&quot;??_ ;_ @_ "/>
    </dxf>
    <dxf>
      <numFmt numFmtId="164" formatCode="_ * #,##0.00_ ;_ * \-#,##0.00_ ;_ * &quot;-&quot;??_ ;_ @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56119373967144"/>
          <c:y val="5.0925925925925923E-2"/>
          <c:w val="0.80607781666180611"/>
          <c:h val="0.77981014873140853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Sheet1!$B$44:$B$507</c:f>
              <c:numCache>
                <c:formatCode>0.0%</c:formatCode>
                <c:ptCount val="464"/>
                <c:pt idx="0">
                  <c:v>7.4983346370245424E-2</c:v>
                </c:pt>
                <c:pt idx="1">
                  <c:v>7.4983545473821092E-2</c:v>
                </c:pt>
                <c:pt idx="2">
                  <c:v>7.4984232795624245E-2</c:v>
                </c:pt>
                <c:pt idx="3">
                  <c:v>7.4985357509981657E-2</c:v>
                </c:pt>
                <c:pt idx="4">
                  <c:v>7.4986938667572778E-2</c:v>
                </c:pt>
                <c:pt idx="5">
                  <c:v>7.4989029246618849E-2</c:v>
                </c:pt>
                <c:pt idx="6">
                  <c:v>7.4991458913850256E-2</c:v>
                </c:pt>
                <c:pt idx="7">
                  <c:v>7.4994397990660197E-2</c:v>
                </c:pt>
                <c:pt idx="8">
                  <c:v>7.4997927872630432E-2</c:v>
                </c:pt>
                <c:pt idx="9">
                  <c:v>7.5001629335664871E-2</c:v>
                </c:pt>
                <c:pt idx="10">
                  <c:v>7.5005922319468232E-2</c:v>
                </c:pt>
                <c:pt idx="11">
                  <c:v>7.5010691103075317E-2</c:v>
                </c:pt>
                <c:pt idx="12">
                  <c:v>7.5015919884170029E-2</c:v>
                </c:pt>
                <c:pt idx="13">
                  <c:v>7.50215511574953E-2</c:v>
                </c:pt>
                <c:pt idx="14">
                  <c:v>7.5027618789238609E-2</c:v>
                </c:pt>
                <c:pt idx="15">
                  <c:v>7.5034199521007122E-2</c:v>
                </c:pt>
                <c:pt idx="16">
                  <c:v>7.5041153161188243E-2</c:v>
                </c:pt>
                <c:pt idx="17">
                  <c:v>7.5048614005502806E-2</c:v>
                </c:pt>
                <c:pt idx="18">
                  <c:v>7.5056502697098029E-2</c:v>
                </c:pt>
                <c:pt idx="19">
                  <c:v>7.5064846793815504E-2</c:v>
                </c:pt>
                <c:pt idx="20">
                  <c:v>7.5073649897465039E-2</c:v>
                </c:pt>
                <c:pt idx="21">
                  <c:v>7.5082922108428915E-2</c:v>
                </c:pt>
                <c:pt idx="22">
                  <c:v>7.5092600929885442E-2</c:v>
                </c:pt>
                <c:pt idx="23">
                  <c:v>7.5102763944751474E-2</c:v>
                </c:pt>
                <c:pt idx="24">
                  <c:v>7.5113350189797562E-2</c:v>
                </c:pt>
                <c:pt idx="25">
                  <c:v>7.5124399716933826E-2</c:v>
                </c:pt>
                <c:pt idx="26">
                  <c:v>7.5135885408977976E-2</c:v>
                </c:pt>
                <c:pt idx="27">
                  <c:v>7.5147832040796614E-2</c:v>
                </c:pt>
                <c:pt idx="28">
                  <c:v>7.5160359762873441E-2</c:v>
                </c:pt>
                <c:pt idx="29">
                  <c:v>7.5173080053308708E-2</c:v>
                </c:pt>
                <c:pt idx="30">
                  <c:v>7.5186367379524249E-2</c:v>
                </c:pt>
                <c:pt idx="31">
                  <c:v>7.5200158512249163E-2</c:v>
                </c:pt>
                <c:pt idx="32">
                  <c:v>7.5214388214023195E-2</c:v>
                </c:pt>
                <c:pt idx="33">
                  <c:v>7.5228923675020154E-2</c:v>
                </c:pt>
                <c:pt idx="34">
                  <c:v>7.5244038000628399E-2</c:v>
                </c:pt>
                <c:pt idx="35">
                  <c:v>7.5259538795007089E-2</c:v>
                </c:pt>
                <c:pt idx="36">
                  <c:v>7.5275510125980258E-2</c:v>
                </c:pt>
                <c:pt idx="37">
                  <c:v>7.5291946106745763E-2</c:v>
                </c:pt>
                <c:pt idx="38">
                  <c:v>7.530882856393703E-2</c:v>
                </c:pt>
                <c:pt idx="39">
                  <c:v>7.5326359142757787E-2</c:v>
                </c:pt>
                <c:pt idx="40">
                  <c:v>7.5343941777977291E-2</c:v>
                </c:pt>
                <c:pt idx="41">
                  <c:v>7.53620729500981E-2</c:v>
                </c:pt>
                <c:pt idx="42">
                  <c:v>7.5380720319346117E-2</c:v>
                </c:pt>
                <c:pt idx="43">
                  <c:v>7.53998181957726E-2</c:v>
                </c:pt>
                <c:pt idx="44">
                  <c:v>7.5419513175988565E-2</c:v>
                </c:pt>
                <c:pt idx="45">
                  <c:v>7.5439594356286402E-2</c:v>
                </c:pt>
                <c:pt idx="46">
                  <c:v>7.5459971648496868E-2</c:v>
                </c:pt>
                <c:pt idx="47">
                  <c:v>7.5480671726769172E-2</c:v>
                </c:pt>
                <c:pt idx="48">
                  <c:v>7.5501963019681914E-2</c:v>
                </c:pt>
                <c:pt idx="49">
                  <c:v>7.5523619659621205E-2</c:v>
                </c:pt>
                <c:pt idx="50">
                  <c:v>7.5545564016826633E-2</c:v>
                </c:pt>
                <c:pt idx="51">
                  <c:v>7.557161988081354E-2</c:v>
                </c:pt>
                <c:pt idx="52">
                  <c:v>7.5606454371893561E-2</c:v>
                </c:pt>
                <c:pt idx="53">
                  <c:v>7.5648345662125693E-2</c:v>
                </c:pt>
                <c:pt idx="54">
                  <c:v>7.5691506833764105E-2</c:v>
                </c:pt>
                <c:pt idx="55">
                  <c:v>7.5735439828578402E-2</c:v>
                </c:pt>
                <c:pt idx="56">
                  <c:v>7.578011122065334E-2</c:v>
                </c:pt>
                <c:pt idx="57">
                  <c:v>7.5825578175329464E-2</c:v>
                </c:pt>
                <c:pt idx="58">
                  <c:v>7.5871783789269884E-2</c:v>
                </c:pt>
                <c:pt idx="59">
                  <c:v>7.5918763006746659E-2</c:v>
                </c:pt>
                <c:pt idx="60">
                  <c:v>7.5966493030249993E-2</c:v>
                </c:pt>
                <c:pt idx="61">
                  <c:v>7.6014990466148666E-2</c:v>
                </c:pt>
                <c:pt idx="62">
                  <c:v>7.606423734420685E-2</c:v>
                </c:pt>
                <c:pt idx="63">
                  <c:v>7.6114245140741388E-2</c:v>
                </c:pt>
                <c:pt idx="64">
                  <c:v>7.6165006084163239E-2</c:v>
                </c:pt>
                <c:pt idx="65">
                  <c:v>7.6216562475338256E-2</c:v>
                </c:pt>
                <c:pt idx="66">
                  <c:v>7.6268785418764848E-2</c:v>
                </c:pt>
                <c:pt idx="67">
                  <c:v>7.6321800667281239E-2</c:v>
                </c:pt>
                <c:pt idx="68">
                  <c:v>7.6375597598804454E-2</c:v>
                </c:pt>
                <c:pt idx="69">
                  <c:v>7.6430090498440129E-2</c:v>
                </c:pt>
                <c:pt idx="70">
                  <c:v>7.6485352274107049E-2</c:v>
                </c:pt>
                <c:pt idx="71">
                  <c:v>7.6541351010583791E-2</c:v>
                </c:pt>
                <c:pt idx="72">
                  <c:v>7.6598114204270151E-2</c:v>
                </c:pt>
                <c:pt idx="73">
                  <c:v>7.665553561883115E-2</c:v>
                </c:pt>
                <c:pt idx="74">
                  <c:v>7.6713754452106653E-2</c:v>
                </c:pt>
                <c:pt idx="75">
                  <c:v>7.6772748230354709E-2</c:v>
                </c:pt>
                <c:pt idx="76">
                  <c:v>7.6832430672410079E-2</c:v>
                </c:pt>
                <c:pt idx="77">
                  <c:v>7.6892817584786555E-2</c:v>
                </c:pt>
                <c:pt idx="78">
                  <c:v>7.6953961215320985E-2</c:v>
                </c:pt>
                <c:pt idx="79">
                  <c:v>7.7015842936576803E-2</c:v>
                </c:pt>
                <c:pt idx="80">
                  <c:v>7.7078497949400152E-2</c:v>
                </c:pt>
                <c:pt idx="81">
                  <c:v>7.7141785855554507E-2</c:v>
                </c:pt>
                <c:pt idx="82">
                  <c:v>7.7205845550009616E-2</c:v>
                </c:pt>
                <c:pt idx="83">
                  <c:v>7.727062663741957E-2</c:v>
                </c:pt>
                <c:pt idx="84">
                  <c:v>7.733612802690093E-2</c:v>
                </c:pt>
                <c:pt idx="85">
                  <c:v>7.7402402734170844E-2</c:v>
                </c:pt>
                <c:pt idx="86">
                  <c:v>7.7469305175444397E-2</c:v>
                </c:pt>
                <c:pt idx="87">
                  <c:v>7.7538711474056402E-2</c:v>
                </c:pt>
                <c:pt idx="88">
                  <c:v>7.7622891653362835E-2</c:v>
                </c:pt>
                <c:pt idx="89">
                  <c:v>7.7723848514868757E-2</c:v>
                </c:pt>
                <c:pt idx="90">
                  <c:v>7.7841809646400015E-2</c:v>
                </c:pt>
                <c:pt idx="91">
                  <c:v>7.7976541113081346E-2</c:v>
                </c:pt>
                <c:pt idx="92">
                  <c:v>7.8128022315111553E-2</c:v>
                </c:pt>
                <c:pt idx="93">
                  <c:v>7.8296139360226641E-2</c:v>
                </c:pt>
                <c:pt idx="94">
                  <c:v>7.8480783751597713E-2</c:v>
                </c:pt>
                <c:pt idx="95">
                  <c:v>7.8681844077438196E-2</c:v>
                </c:pt>
                <c:pt idx="96">
                  <c:v>7.8899202703441446E-2</c:v>
                </c:pt>
                <c:pt idx="97">
                  <c:v>7.9132798813643421E-2</c:v>
                </c:pt>
                <c:pt idx="98">
                  <c:v>7.9380149725410687E-2</c:v>
                </c:pt>
                <c:pt idx="99">
                  <c:v>7.9633635644943288E-2</c:v>
                </c:pt>
                <c:pt idx="100">
                  <c:v>#N/A</c:v>
                </c:pt>
              </c:numCache>
            </c:numRef>
          </c:xVal>
          <c:yVal>
            <c:numRef>
              <c:f>Sheet1!$C$44:$C$507</c:f>
              <c:numCache>
                <c:formatCode>0.0%</c:formatCode>
                <c:ptCount val="464"/>
                <c:pt idx="0">
                  <c:v>9.1578174296238019E-2</c:v>
                </c:pt>
                <c:pt idx="1">
                  <c:v>9.1899403980737815E-2</c:v>
                </c:pt>
                <c:pt idx="2">
                  <c:v>9.2220633665237778E-2</c:v>
                </c:pt>
                <c:pt idx="3">
                  <c:v>9.2541863349737657E-2</c:v>
                </c:pt>
                <c:pt idx="4">
                  <c:v>9.2863093034237509E-2</c:v>
                </c:pt>
                <c:pt idx="5">
                  <c:v>9.3184322718737375E-2</c:v>
                </c:pt>
                <c:pt idx="6">
                  <c:v>9.3505552403236117E-2</c:v>
                </c:pt>
                <c:pt idx="7">
                  <c:v>9.3826782087737121E-2</c:v>
                </c:pt>
                <c:pt idx="8">
                  <c:v>9.4148011772237014E-2</c:v>
                </c:pt>
                <c:pt idx="9">
                  <c:v>9.446924145673688E-2</c:v>
                </c:pt>
                <c:pt idx="10">
                  <c:v>9.4790471141235177E-2</c:v>
                </c:pt>
                <c:pt idx="11">
                  <c:v>9.511170082573657E-2</c:v>
                </c:pt>
                <c:pt idx="12">
                  <c:v>9.5432930510236505E-2</c:v>
                </c:pt>
                <c:pt idx="13">
                  <c:v>9.5754160194736385E-2</c:v>
                </c:pt>
                <c:pt idx="14">
                  <c:v>9.6075389879236278E-2</c:v>
                </c:pt>
                <c:pt idx="15">
                  <c:v>9.639661956373613E-2</c:v>
                </c:pt>
                <c:pt idx="16">
                  <c:v>9.6717849248236037E-2</c:v>
                </c:pt>
                <c:pt idx="17">
                  <c:v>9.7039078932735334E-2</c:v>
                </c:pt>
                <c:pt idx="18">
                  <c:v>9.7360308617235755E-2</c:v>
                </c:pt>
                <c:pt idx="19">
                  <c:v>9.7681538301735635E-2</c:v>
                </c:pt>
                <c:pt idx="20">
                  <c:v>9.800276798623539E-2</c:v>
                </c:pt>
                <c:pt idx="21">
                  <c:v>9.832399767073538E-2</c:v>
                </c:pt>
                <c:pt idx="22">
                  <c:v>9.864522735523526E-2</c:v>
                </c:pt>
                <c:pt idx="23">
                  <c:v>9.8966457039735112E-2</c:v>
                </c:pt>
                <c:pt idx="24">
                  <c:v>9.9287686724235005E-2</c:v>
                </c:pt>
                <c:pt idx="25">
                  <c:v>9.9608916408734885E-2</c:v>
                </c:pt>
                <c:pt idx="26">
                  <c:v>9.9930146093234265E-2</c:v>
                </c:pt>
                <c:pt idx="27">
                  <c:v>0.10025137577773467</c:v>
                </c:pt>
                <c:pt idx="28">
                  <c:v>0.10057260546222643</c:v>
                </c:pt>
                <c:pt idx="29">
                  <c:v>0.1008938351467344</c:v>
                </c:pt>
                <c:pt idx="30">
                  <c:v>0.10121506483123424</c:v>
                </c:pt>
                <c:pt idx="31">
                  <c:v>0.10153629451573389</c:v>
                </c:pt>
                <c:pt idx="32">
                  <c:v>0.10185752420023386</c:v>
                </c:pt>
                <c:pt idx="33">
                  <c:v>0.10217875388473385</c:v>
                </c:pt>
                <c:pt idx="34">
                  <c:v>0.10249998356923376</c:v>
                </c:pt>
                <c:pt idx="35">
                  <c:v>0.10282121325373364</c:v>
                </c:pt>
                <c:pt idx="36">
                  <c:v>0.10314244293823355</c:v>
                </c:pt>
                <c:pt idx="37">
                  <c:v>0.10346367262273339</c:v>
                </c:pt>
                <c:pt idx="38">
                  <c:v>0.10378490230723329</c:v>
                </c:pt>
                <c:pt idx="39">
                  <c:v>0.10410613199173195</c:v>
                </c:pt>
                <c:pt idx="40">
                  <c:v>0.10442736167623301</c:v>
                </c:pt>
                <c:pt idx="41">
                  <c:v>0.10474859136073286</c:v>
                </c:pt>
                <c:pt idx="42">
                  <c:v>0.10506982104523277</c:v>
                </c:pt>
                <c:pt idx="43">
                  <c:v>0.10539105072973264</c:v>
                </c:pt>
                <c:pt idx="44">
                  <c:v>0.10571228041423252</c:v>
                </c:pt>
                <c:pt idx="45">
                  <c:v>0.10603351009873226</c:v>
                </c:pt>
                <c:pt idx="46">
                  <c:v>0.10635473978323226</c:v>
                </c:pt>
                <c:pt idx="47">
                  <c:v>0.10667596946773214</c:v>
                </c:pt>
                <c:pt idx="48">
                  <c:v>0.10699719915223201</c:v>
                </c:pt>
                <c:pt idx="49">
                  <c:v>0.1073184288367319</c:v>
                </c:pt>
                <c:pt idx="50">
                  <c:v>0.10763965852123177</c:v>
                </c:pt>
                <c:pt idx="51">
                  <c:v>0.10796088820573163</c:v>
                </c:pt>
                <c:pt idx="52">
                  <c:v>0.10828211789023151</c:v>
                </c:pt>
                <c:pt idx="53">
                  <c:v>0.1086033475747314</c:v>
                </c:pt>
                <c:pt idx="54">
                  <c:v>0.10892457725923123</c:v>
                </c:pt>
                <c:pt idx="55">
                  <c:v>0.10924580694373111</c:v>
                </c:pt>
                <c:pt idx="56">
                  <c:v>0.10956703662823103</c:v>
                </c:pt>
                <c:pt idx="57">
                  <c:v>0.10988826631273077</c:v>
                </c:pt>
                <c:pt idx="58">
                  <c:v>0.11020949599723073</c:v>
                </c:pt>
                <c:pt idx="59">
                  <c:v>0.11053072568173058</c:v>
                </c:pt>
                <c:pt idx="60">
                  <c:v>0.11085195536623052</c:v>
                </c:pt>
                <c:pt idx="61">
                  <c:v>0.11117318505073037</c:v>
                </c:pt>
                <c:pt idx="62">
                  <c:v>0.11149441473523025</c:v>
                </c:pt>
                <c:pt idx="63">
                  <c:v>0.11181564441973013</c:v>
                </c:pt>
                <c:pt idx="64">
                  <c:v>0.11213687410423</c:v>
                </c:pt>
                <c:pt idx="65">
                  <c:v>0.11245810378872945</c:v>
                </c:pt>
                <c:pt idx="66">
                  <c:v>0.11277933347322977</c:v>
                </c:pt>
                <c:pt idx="67">
                  <c:v>0.11310056315772965</c:v>
                </c:pt>
                <c:pt idx="68">
                  <c:v>0.11342179284222917</c:v>
                </c:pt>
                <c:pt idx="69">
                  <c:v>0.11374302252672901</c:v>
                </c:pt>
                <c:pt idx="70">
                  <c:v>0.11406425221122898</c:v>
                </c:pt>
                <c:pt idx="71">
                  <c:v>0.11438548189572886</c:v>
                </c:pt>
                <c:pt idx="72">
                  <c:v>0.1147067115802287</c:v>
                </c:pt>
                <c:pt idx="73">
                  <c:v>0.11502794126472879</c:v>
                </c:pt>
                <c:pt idx="74">
                  <c:v>0.11534917094922839</c:v>
                </c:pt>
                <c:pt idx="75">
                  <c:v>0.11567040063372476</c:v>
                </c:pt>
                <c:pt idx="76">
                  <c:v>0.11599163031822489</c:v>
                </c:pt>
                <c:pt idx="77">
                  <c:v>0.11631286000272728</c:v>
                </c:pt>
                <c:pt idx="78">
                  <c:v>0.11663408968722827</c:v>
                </c:pt>
                <c:pt idx="79">
                  <c:v>0.11695531937172793</c:v>
                </c:pt>
                <c:pt idx="80">
                  <c:v>0.11727654905622717</c:v>
                </c:pt>
                <c:pt idx="81">
                  <c:v>0.11759777874072788</c:v>
                </c:pt>
                <c:pt idx="82">
                  <c:v>0.11791900842522773</c:v>
                </c:pt>
                <c:pt idx="83">
                  <c:v>0.11824023810972706</c:v>
                </c:pt>
                <c:pt idx="84">
                  <c:v>0.11856146779422749</c:v>
                </c:pt>
                <c:pt idx="85">
                  <c:v>0.11888269747872725</c:v>
                </c:pt>
                <c:pt idx="86">
                  <c:v>0.1192039271632272</c:v>
                </c:pt>
                <c:pt idx="87">
                  <c:v>0.11952515684772715</c:v>
                </c:pt>
                <c:pt idx="88">
                  <c:v>0.1198463865322264</c:v>
                </c:pt>
                <c:pt idx="89">
                  <c:v>0.12016761621672677</c:v>
                </c:pt>
                <c:pt idx="90">
                  <c:v>0.12048884590122613</c:v>
                </c:pt>
                <c:pt idx="91">
                  <c:v>0.12081007558572619</c:v>
                </c:pt>
                <c:pt idx="92">
                  <c:v>0.12113130527022613</c:v>
                </c:pt>
                <c:pt idx="93">
                  <c:v>0.12145253495472604</c:v>
                </c:pt>
                <c:pt idx="94">
                  <c:v>0.12177376463922543</c:v>
                </c:pt>
                <c:pt idx="95">
                  <c:v>0.12209499432372584</c:v>
                </c:pt>
                <c:pt idx="96">
                  <c:v>0.12241622400822573</c:v>
                </c:pt>
                <c:pt idx="97">
                  <c:v>0.12273745369272539</c:v>
                </c:pt>
                <c:pt idx="98">
                  <c:v>0.12305868337722539</c:v>
                </c:pt>
                <c:pt idx="99">
                  <c:v>0.12337991306172531</c:v>
                </c:pt>
                <c:pt idx="10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52-4718-BC1D-712AA7B873C3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circle"/>
            <c:size val="5"/>
          </c:marker>
          <c:xVal>
            <c:numRef>
              <c:f>Sheet1!$B$36:$B$38</c:f>
              <c:numCache>
                <c:formatCode>0.0%</c:formatCode>
                <c:ptCount val="3"/>
                <c:pt idx="0">
                  <c:v>8.1763887864079177E-2</c:v>
                </c:pt>
                <c:pt idx="2">
                  <c:v>7.4983349424587439E-2</c:v>
                </c:pt>
              </c:numCache>
            </c:numRef>
          </c:xVal>
          <c:yVal>
            <c:numRef>
              <c:f>Sheet1!$C$36:$C$38</c:f>
              <c:numCache>
                <c:formatCode>0.0%</c:formatCode>
                <c:ptCount val="3"/>
                <c:pt idx="0">
                  <c:v>0.12497000000000003</c:v>
                </c:pt>
                <c:pt idx="2">
                  <c:v>9.1578174296238005E-2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BD2-41A0-86CE-C1D15C8B07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061440"/>
        <c:axId val="100292096"/>
      </c:scatterChart>
      <c:valAx>
        <c:axId val="86061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/>
          <c:overlay val="0"/>
        </c:title>
        <c:numFmt formatCode="0.0%" sourceLinked="1"/>
        <c:majorTickMark val="out"/>
        <c:minorTickMark val="none"/>
        <c:tickLblPos val="nextTo"/>
        <c:crossAx val="100292096"/>
        <c:crosses val="autoZero"/>
        <c:crossBetween val="midCat"/>
      </c:valAx>
      <c:valAx>
        <c:axId val="10029209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Return</a:t>
                </a:r>
              </a:p>
            </c:rich>
          </c:tx>
          <c:layout/>
          <c:overlay val="0"/>
        </c:title>
        <c:numFmt formatCode="0.0%" sourceLinked="1"/>
        <c:majorTickMark val="out"/>
        <c:minorTickMark val="none"/>
        <c:tickLblPos val="nextTo"/>
        <c:crossAx val="8606144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273432487605716"/>
          <c:y val="6.1111111111111109E-2"/>
          <c:w val="0.82306807945303129"/>
          <c:h val="0.78211111111111109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Sheet2!$B$40</c:f>
              <c:strCache>
                <c:ptCount val="1"/>
                <c:pt idx="0">
                  <c:v>Efficient Frontier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Sheet2!$C$41:$C$200</c:f>
              <c:numCache>
                <c:formatCode>General</c:formatCode>
                <c:ptCount val="160"/>
                <c:pt idx="0">
                  <c:v>3.2780229834680062E-2</c:v>
                </c:pt>
                <c:pt idx="1">
                  <c:v>3.2790455247375928E-2</c:v>
                </c:pt>
                <c:pt idx="2">
                  <c:v>3.2820912992691999E-2</c:v>
                </c:pt>
                <c:pt idx="3">
                  <c:v>3.2871532076790992E-2</c:v>
                </c:pt>
                <c:pt idx="4">
                  <c:v>3.2942177116393037E-2</c:v>
                </c:pt>
                <c:pt idx="5">
                  <c:v>3.3033266698699194E-2</c:v>
                </c:pt>
                <c:pt idx="6">
                  <c:v>3.3143418552611319E-2</c:v>
                </c:pt>
                <c:pt idx="7">
                  <c:v>3.3272167078841515E-2</c:v>
                </c:pt>
                <c:pt idx="8">
                  <c:v>3.3411463917810372E-2</c:v>
                </c:pt>
                <c:pt idx="9">
                  <c:v>3.3558866582318866E-2</c:v>
                </c:pt>
                <c:pt idx="10">
                  <c:v>3.3714352105502825E-2</c:v>
                </c:pt>
                <c:pt idx="11">
                  <c:v>3.3877776428219285E-2</c:v>
                </c:pt>
                <c:pt idx="12">
                  <c:v>3.4049031694207893E-2</c:v>
                </c:pt>
                <c:pt idx="13">
                  <c:v>3.422798650749069E-2</c:v>
                </c:pt>
                <c:pt idx="14">
                  <c:v>3.4414561570275955E-2</c:v>
                </c:pt>
                <c:pt idx="15">
                  <c:v>3.4608884248398954E-2</c:v>
                </c:pt>
                <c:pt idx="16">
                  <c:v>3.4812739111584265E-2</c:v>
                </c:pt>
                <c:pt idx="17">
                  <c:v>3.5027530265554309E-2</c:v>
                </c:pt>
                <c:pt idx="18">
                  <c:v>3.5252842662987144E-2</c:v>
                </c:pt>
                <c:pt idx="19">
                  <c:v>3.5488481942455755E-2</c:v>
                </c:pt>
                <c:pt idx="20">
                  <c:v>3.5734278512272052E-2</c:v>
                </c:pt>
                <c:pt idx="21">
                  <c:v>3.5990513842862927E-2</c:v>
                </c:pt>
                <c:pt idx="22">
                  <c:v>3.6255459576960754E-2</c:v>
                </c:pt>
                <c:pt idx="23">
                  <c:v>3.6530814830611699E-2</c:v>
                </c:pt>
                <c:pt idx="24">
                  <c:v>3.6815008833226616E-2</c:v>
                </c:pt>
                <c:pt idx="25">
                  <c:v>3.7108302583559329E-2</c:v>
                </c:pt>
                <c:pt idx="26">
                  <c:v>3.7410346663464829E-2</c:v>
                </c:pt>
                <c:pt idx="27">
                  <c:v>3.7721254577320236E-2</c:v>
                </c:pt>
                <c:pt idx="28">
                  <c:v>3.8040434808210968E-2</c:v>
                </c:pt>
                <c:pt idx="29">
                  <c:v>3.8367954933686901E-2</c:v>
                </c:pt>
                <c:pt idx="30">
                  <c:v>3.8719200048768505E-2</c:v>
                </c:pt>
                <c:pt idx="31">
                  <c:v>3.9127747179400672E-2</c:v>
                </c:pt>
                <c:pt idx="32">
                  <c:v>3.9592559539108868E-2</c:v>
                </c:pt>
                <c:pt idx="33">
                  <c:v>4.011211392094112E-2</c:v>
                </c:pt>
                <c:pt idx="34">
                  <c:v>4.0684039575501894E-2</c:v>
                </c:pt>
                <c:pt idx="35">
                  <c:v>4.1306331898325409E-2</c:v>
                </c:pt>
                <c:pt idx="36">
                  <c:v>4.1976743048383683E-2</c:v>
                </c:pt>
                <c:pt idx="37">
                  <c:v>4.2692829104665576E-2</c:v>
                </c:pt>
                <c:pt idx="38">
                  <c:v>4.3452509846213377E-2</c:v>
                </c:pt>
                <c:pt idx="39">
                  <c:v>4.4253474459784004E-2</c:v>
                </c:pt>
                <c:pt idx="40">
                  <c:v>4.5093526903877412E-2</c:v>
                </c:pt>
                <c:pt idx="41">
                  <c:v>4.5970529427892814E-2</c:v>
                </c:pt>
                <c:pt idx="42">
                  <c:v>4.6882406183433527E-2</c:v>
                </c:pt>
                <c:pt idx="43">
                  <c:v>4.7827166419180188E-2</c:v>
                </c:pt>
                <c:pt idx="44">
                  <c:v>4.8802905384561862E-2</c:v>
                </c:pt>
                <c:pt idx="45">
                  <c:v>4.9807859515573476E-2</c:v>
                </c:pt>
                <c:pt idx="46">
                  <c:v>5.0840052818910922E-2</c:v>
                </c:pt>
                <c:pt idx="47">
                  <c:v>5.189569288563594E-2</c:v>
                </c:pt>
                <c:pt idx="48">
                  <c:v>5.2956402796728926E-2</c:v>
                </c:pt>
                <c:pt idx="49">
                  <c:v>5.4018650758427357E-2</c:v>
                </c:pt>
                <c:pt idx="50">
                  <c:v>5.5082223301444674E-2</c:v>
                </c:pt>
                <c:pt idx="51">
                  <c:v>5.6147307912877899E-2</c:v>
                </c:pt>
                <c:pt idx="52">
                  <c:v>5.7213380074263083E-2</c:v>
                </c:pt>
                <c:pt idx="53">
                  <c:v>5.8280775589476891E-2</c:v>
                </c:pt>
                <c:pt idx="54">
                  <c:v>5.9349367745249397E-2</c:v>
                </c:pt>
                <c:pt idx="55">
                  <c:v>6.0418876542782149E-2</c:v>
                </c:pt>
                <c:pt idx="56">
                  <c:v>6.1489476475282606E-2</c:v>
                </c:pt>
                <c:pt idx="57">
                  <c:v>6.2561025914353807E-2</c:v>
                </c:pt>
                <c:pt idx="58">
                  <c:v>6.3633527167774637E-2</c:v>
                </c:pt>
                <c:pt idx="59">
                  <c:v>6.4706831629464473E-2</c:v>
                </c:pt>
                <c:pt idx="60">
                  <c:v>6.5780942996268188E-2</c:v>
                </c:pt>
                <c:pt idx="61">
                  <c:v>6.6855867463328042E-2</c:v>
                </c:pt>
                <c:pt idx="62">
                  <c:v>6.793156182986497E-2</c:v>
                </c:pt>
                <c:pt idx="63">
                  <c:v>6.9007889477706905E-2</c:v>
                </c:pt>
                <c:pt idx="64">
                  <c:v>7.0085759032414763E-2</c:v>
                </c:pt>
                <c:pt idx="65">
                  <c:v>7.1176414626253778E-2</c:v>
                </c:pt>
                <c:pt idx="66">
                  <c:v>7.2283968423057149E-2</c:v>
                </c:pt>
                <c:pt idx="67">
                  <c:v>7.3407426078746507E-2</c:v>
                </c:pt>
                <c:pt idx="68">
                  <c:v>7.4546283075365857E-2</c:v>
                </c:pt>
                <c:pt idx="69">
                  <c:v>7.569975944559669E-2</c:v>
                </c:pt>
                <c:pt idx="70">
                  <c:v>7.6867263162970489E-2</c:v>
                </c:pt>
                <c:pt idx="71">
                  <c:v>7.8048039025406413E-2</c:v>
                </c:pt>
                <c:pt idx="72">
                  <c:v>7.9241529210234751E-2</c:v>
                </c:pt>
                <c:pt idx="73">
                  <c:v>8.0447193097522685E-2</c:v>
                </c:pt>
                <c:pt idx="74">
                  <c:v>8.1664511678084223E-2</c:v>
                </c:pt>
                <c:pt idx="75">
                  <c:v>8.2892953766217956E-2</c:v>
                </c:pt>
                <c:pt idx="76">
                  <c:v>8.4132022876364454E-2</c:v>
                </c:pt>
                <c:pt idx="77">
                  <c:v>8.5381262353885962E-2</c:v>
                </c:pt>
                <c:pt idx="78">
                  <c:v>8.6640258354199806E-2</c:v>
                </c:pt>
                <c:pt idx="79">
                  <c:v>8.7908517206816444E-2</c:v>
                </c:pt>
                <c:pt idx="80">
                  <c:v>8.9185711033778259E-2</c:v>
                </c:pt>
                <c:pt idx="81">
                  <c:v>9.0471438167532101E-2</c:v>
                </c:pt>
                <c:pt idx="82">
                  <c:v>9.1765395270626424E-2</c:v>
                </c:pt>
                <c:pt idx="83">
                  <c:v>9.306709333081295E-2</c:v>
                </c:pt>
                <c:pt idx="84">
                  <c:v>9.4376362125733429E-2</c:v>
                </c:pt>
                <c:pt idx="85">
                  <c:v>9.5692852076595322E-2</c:v>
                </c:pt>
                <c:pt idx="86">
                  <c:v>9.7016219077092111E-2</c:v>
                </c:pt>
                <c:pt idx="87">
                  <c:v>9.8346236470407786E-2</c:v>
                </c:pt>
                <c:pt idx="88">
                  <c:v>9.9682562316846926E-2</c:v>
                </c:pt>
                <c:pt idx="89">
                  <c:v>0.10102504740895323</c:v>
                </c:pt>
                <c:pt idx="90">
                  <c:v>0.10237343891989635</c:v>
                </c:pt>
                <c:pt idx="91">
                  <c:v>0.10373518444698179</c:v>
                </c:pt>
                <c:pt idx="92">
                  <c:v>0.10511988110999429</c:v>
                </c:pt>
                <c:pt idx="93">
                  <c:v>0.1065268370907466</c:v>
                </c:pt>
                <c:pt idx="94">
                  <c:v>0.10795511750157161</c:v>
                </c:pt>
                <c:pt idx="95">
                  <c:v>0.10940386797693041</c:v>
                </c:pt>
                <c:pt idx="96">
                  <c:v>0.11087230604944132</c:v>
                </c:pt>
                <c:pt idx="97">
                  <c:v>0.11235966659048774</c:v>
                </c:pt>
                <c:pt idx="98">
                  <c:v>0.11386520916397277</c:v>
                </c:pt>
                <c:pt idx="99">
                  <c:v>0.11538819644570883</c:v>
                </c:pt>
                <c:pt idx="100">
                  <c:v>#N/A</c:v>
                </c:pt>
              </c:numCache>
            </c:numRef>
          </c:xVal>
          <c:yVal>
            <c:numRef>
              <c:f>Sheet2!$D$41:$D$200</c:f>
              <c:numCache>
                <c:formatCode>General</c:formatCode>
                <c:ptCount val="160"/>
                <c:pt idx="0">
                  <c:v>9.7299051961963062E-2</c:v>
                </c:pt>
                <c:pt idx="1">
                  <c:v>9.8018001385117515E-2</c:v>
                </c:pt>
                <c:pt idx="2">
                  <c:v>9.8736950808272661E-2</c:v>
                </c:pt>
                <c:pt idx="3">
                  <c:v>9.9455900231426281E-2</c:v>
                </c:pt>
                <c:pt idx="4">
                  <c:v>0.10017484965458114</c:v>
                </c:pt>
                <c:pt idx="5">
                  <c:v>0.10089379907773478</c:v>
                </c:pt>
                <c:pt idx="6">
                  <c:v>0.10161274850088951</c:v>
                </c:pt>
                <c:pt idx="7">
                  <c:v>0.10233169792404986</c:v>
                </c:pt>
                <c:pt idx="8">
                  <c:v>0.10305064734719796</c:v>
                </c:pt>
                <c:pt idx="9">
                  <c:v>0.10376959677035247</c:v>
                </c:pt>
                <c:pt idx="10">
                  <c:v>0.10448854619350706</c:v>
                </c:pt>
                <c:pt idx="11">
                  <c:v>0.10520749561666132</c:v>
                </c:pt>
                <c:pt idx="12">
                  <c:v>0.10592644503981569</c:v>
                </c:pt>
                <c:pt idx="13">
                  <c:v>0.10664539446297035</c:v>
                </c:pt>
                <c:pt idx="14">
                  <c:v>0.10736434388612662</c:v>
                </c:pt>
                <c:pt idx="15">
                  <c:v>0.10808329330927917</c:v>
                </c:pt>
                <c:pt idx="16">
                  <c:v>0.10880224273243363</c:v>
                </c:pt>
                <c:pt idx="17">
                  <c:v>0.10952119215558825</c:v>
                </c:pt>
                <c:pt idx="18">
                  <c:v>0.1102401415787424</c:v>
                </c:pt>
                <c:pt idx="19">
                  <c:v>0.11095909100189685</c:v>
                </c:pt>
                <c:pt idx="20">
                  <c:v>0.11167804042505126</c:v>
                </c:pt>
                <c:pt idx="21">
                  <c:v>0.1123969898482113</c:v>
                </c:pt>
                <c:pt idx="22">
                  <c:v>0.11311593927136007</c:v>
                </c:pt>
                <c:pt idx="23">
                  <c:v>0.11383488869451866</c:v>
                </c:pt>
                <c:pt idx="24">
                  <c:v>0.11455383811766748</c:v>
                </c:pt>
                <c:pt idx="25">
                  <c:v>0.11527278754082179</c:v>
                </c:pt>
                <c:pt idx="26">
                  <c:v>0.11599173696397676</c:v>
                </c:pt>
                <c:pt idx="27">
                  <c:v>0.11671068638713188</c:v>
                </c:pt>
                <c:pt idx="28">
                  <c:v>0.11742963581028544</c:v>
                </c:pt>
                <c:pt idx="29">
                  <c:v>0.11814858523344091</c:v>
                </c:pt>
                <c:pt idx="30">
                  <c:v>0.11886753465659541</c:v>
                </c:pt>
                <c:pt idx="31">
                  <c:v>0.11958648407975492</c:v>
                </c:pt>
                <c:pt idx="32">
                  <c:v>0.12030543350290387</c:v>
                </c:pt>
                <c:pt idx="33">
                  <c:v>0.12102438292605856</c:v>
                </c:pt>
                <c:pt idx="34">
                  <c:v>0.12174333234921297</c:v>
                </c:pt>
                <c:pt idx="35">
                  <c:v>0.12246228177236676</c:v>
                </c:pt>
                <c:pt idx="36">
                  <c:v>0.12318123119552178</c:v>
                </c:pt>
                <c:pt idx="37">
                  <c:v>0.12390018061867172</c:v>
                </c:pt>
                <c:pt idx="38">
                  <c:v>0.12461913004183023</c:v>
                </c:pt>
                <c:pt idx="39">
                  <c:v>0.12533807946498468</c:v>
                </c:pt>
                <c:pt idx="40">
                  <c:v>0.12605702888813908</c:v>
                </c:pt>
                <c:pt idx="41">
                  <c:v>0.12677597831129339</c:v>
                </c:pt>
                <c:pt idx="42">
                  <c:v>0.12749492773444779</c:v>
                </c:pt>
                <c:pt idx="43">
                  <c:v>0.12821387715760221</c:v>
                </c:pt>
                <c:pt idx="44">
                  <c:v>0.12893282658075655</c:v>
                </c:pt>
                <c:pt idx="45">
                  <c:v>0.12965177600391081</c:v>
                </c:pt>
                <c:pt idx="46">
                  <c:v>0.13037072542706588</c:v>
                </c:pt>
                <c:pt idx="47">
                  <c:v>0.13108967485022019</c:v>
                </c:pt>
                <c:pt idx="48">
                  <c:v>0.13180862427337459</c:v>
                </c:pt>
                <c:pt idx="49">
                  <c:v>0.13252757369652446</c:v>
                </c:pt>
                <c:pt idx="50">
                  <c:v>0.13324652311968355</c:v>
                </c:pt>
                <c:pt idx="51">
                  <c:v>0.13396547254283617</c:v>
                </c:pt>
                <c:pt idx="52">
                  <c:v>0.1346844219659924</c:v>
                </c:pt>
                <c:pt idx="53">
                  <c:v>0.1354033713891466</c:v>
                </c:pt>
                <c:pt idx="54">
                  <c:v>0.13612232081229386</c:v>
                </c:pt>
                <c:pt idx="55">
                  <c:v>0.13684127023545403</c:v>
                </c:pt>
                <c:pt idx="56">
                  <c:v>0.13756021965860929</c:v>
                </c:pt>
                <c:pt idx="57">
                  <c:v>0.13827916908176394</c:v>
                </c:pt>
                <c:pt idx="58">
                  <c:v>0.13899811850491467</c:v>
                </c:pt>
                <c:pt idx="59">
                  <c:v>0.13971706792807326</c:v>
                </c:pt>
                <c:pt idx="60">
                  <c:v>0.14043601735122785</c:v>
                </c:pt>
                <c:pt idx="61">
                  <c:v>0.14115496677438069</c:v>
                </c:pt>
                <c:pt idx="62">
                  <c:v>0.14187391619753312</c:v>
                </c:pt>
                <c:pt idx="63">
                  <c:v>0.14259286562069071</c:v>
                </c:pt>
                <c:pt idx="64">
                  <c:v>0.14331181504384516</c:v>
                </c:pt>
                <c:pt idx="65">
                  <c:v>0.14403076446699958</c:v>
                </c:pt>
                <c:pt idx="66">
                  <c:v>0.14474971389015359</c:v>
                </c:pt>
                <c:pt idx="67">
                  <c:v>0.14546866331330813</c:v>
                </c:pt>
                <c:pt idx="68">
                  <c:v>0.14618761273646258</c:v>
                </c:pt>
                <c:pt idx="69">
                  <c:v>0.14690656215961731</c:v>
                </c:pt>
                <c:pt idx="70">
                  <c:v>0.14762551158273923</c:v>
                </c:pt>
                <c:pt idx="71">
                  <c:v>0.14834446100590828</c:v>
                </c:pt>
                <c:pt idx="72">
                  <c:v>0.14906341042904867</c:v>
                </c:pt>
                <c:pt idx="73">
                  <c:v>0.14978235985223487</c:v>
                </c:pt>
                <c:pt idx="74">
                  <c:v>0.15050130927538632</c:v>
                </c:pt>
                <c:pt idx="75">
                  <c:v>0.15122025869854044</c:v>
                </c:pt>
                <c:pt idx="76">
                  <c:v>0.15193920812169551</c:v>
                </c:pt>
                <c:pt idx="77">
                  <c:v>0.15265815754485004</c:v>
                </c:pt>
                <c:pt idx="78">
                  <c:v>0.15337710696795237</c:v>
                </c:pt>
                <c:pt idx="79">
                  <c:v>0.1540960563911532</c:v>
                </c:pt>
                <c:pt idx="80">
                  <c:v>0.15481500581430985</c:v>
                </c:pt>
                <c:pt idx="81">
                  <c:v>0.15553395523746846</c:v>
                </c:pt>
                <c:pt idx="82">
                  <c:v>0.1562529046605394</c:v>
                </c:pt>
                <c:pt idx="83">
                  <c:v>0.15697185408377523</c:v>
                </c:pt>
                <c:pt idx="84">
                  <c:v>0.15769080350692921</c:v>
                </c:pt>
                <c:pt idx="85">
                  <c:v>0.15840975293007678</c:v>
                </c:pt>
                <c:pt idx="86">
                  <c:v>0.15912870235323073</c:v>
                </c:pt>
                <c:pt idx="87">
                  <c:v>0.15984765177637983</c:v>
                </c:pt>
                <c:pt idx="88">
                  <c:v>0.16056660119955091</c:v>
                </c:pt>
                <c:pt idx="89">
                  <c:v>0.16128555062270505</c:v>
                </c:pt>
                <c:pt idx="90">
                  <c:v>0.16200450004585948</c:v>
                </c:pt>
                <c:pt idx="91">
                  <c:v>0.16272344946901388</c:v>
                </c:pt>
                <c:pt idx="92">
                  <c:v>0.16344239889216794</c:v>
                </c:pt>
                <c:pt idx="93">
                  <c:v>0.16416134831531939</c:v>
                </c:pt>
                <c:pt idx="94">
                  <c:v>0.16488029773847152</c:v>
                </c:pt>
                <c:pt idx="95">
                  <c:v>0.16559924716162369</c:v>
                </c:pt>
                <c:pt idx="96">
                  <c:v>0.16631819658478536</c:v>
                </c:pt>
                <c:pt idx="97">
                  <c:v>0.16703714600793737</c:v>
                </c:pt>
                <c:pt idx="98">
                  <c:v>0.16775609543109371</c:v>
                </c:pt>
                <c:pt idx="99">
                  <c:v>0.16847504485424414</c:v>
                </c:pt>
                <c:pt idx="10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822-4079-AE86-4CCDBF4E80F1}"/>
            </c:ext>
          </c:extLst>
        </c:ser>
        <c:ser>
          <c:idx val="1"/>
          <c:order val="1"/>
          <c:tx>
            <c:strRef>
              <c:f>Sheet2!$T$35</c:f>
              <c:strCache>
                <c:ptCount val="1"/>
                <c:pt idx="0">
                  <c:v>Results from Peter's File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Sheet2!$U$41:$U$141</c:f>
              <c:numCache>
                <c:formatCode>General</c:formatCode>
                <c:ptCount val="101"/>
                <c:pt idx="0">
                  <c:v>3.2780226275034588E-2</c:v>
                </c:pt>
                <c:pt idx="1">
                  <c:v>3.2791158774041887E-2</c:v>
                </c:pt>
                <c:pt idx="2">
                  <c:v>3.2823934423683795E-2</c:v>
                </c:pt>
                <c:pt idx="3">
                  <c:v>3.2878487899538143E-2</c:v>
                </c:pt>
                <c:pt idx="4">
                  <c:v>3.2954711048251831E-2</c:v>
                </c:pt>
                <c:pt idx="5">
                  <c:v>3.3052453951127131E-2</c:v>
                </c:pt>
                <c:pt idx="6">
                  <c:v>3.3171526379003127E-2</c:v>
                </c:pt>
                <c:pt idx="7">
                  <c:v>3.3309154663039194E-2</c:v>
                </c:pt>
                <c:pt idx="8">
                  <c:v>3.3456416461675645E-2</c:v>
                </c:pt>
                <c:pt idx="9">
                  <c:v>3.3612460546474598E-2</c:v>
                </c:pt>
                <c:pt idx="10">
                  <c:v>3.3777165200175631E-2</c:v>
                </c:pt>
                <c:pt idx="11">
                  <c:v>3.3950404377150148E-2</c:v>
                </c:pt>
                <c:pt idx="12">
                  <c:v>3.4132048125251592E-2</c:v>
                </c:pt>
                <c:pt idx="13">
                  <c:v>3.4321963005011537E-2</c:v>
                </c:pt>
                <c:pt idx="14">
                  <c:v>3.4520012503628753E-2</c:v>
                </c:pt>
                <c:pt idx="15">
                  <c:v>3.472731202211414E-2</c:v>
                </c:pt>
                <c:pt idx="16">
                  <c:v>3.4946228752698434E-2</c:v>
                </c:pt>
                <c:pt idx="17">
                  <c:v>3.5176618894438266E-2</c:v>
                </c:pt>
                <c:pt idx="18">
                  <c:v>3.5418258549894138E-2</c:v>
                </c:pt>
                <c:pt idx="19">
                  <c:v>3.567091910259277E-2</c:v>
                </c:pt>
                <c:pt idx="20">
                  <c:v>3.5934368083970242E-2</c:v>
                </c:pt>
                <c:pt idx="21">
                  <c:v>3.6208370007758867E-2</c:v>
                </c:pt>
                <c:pt idx="22">
                  <c:v>3.6492687167393643E-2</c:v>
                </c:pt>
                <c:pt idx="23">
                  <c:v>3.6787080392845985E-2</c:v>
                </c:pt>
                <c:pt idx="24">
                  <c:v>3.7091309764096247E-2</c:v>
                </c:pt>
                <c:pt idx="25">
                  <c:v>3.7405135279217253E-2</c:v>
                </c:pt>
                <c:pt idx="26">
                  <c:v>3.7728317475749097E-2</c:v>
                </c:pt>
                <c:pt idx="27">
                  <c:v>3.8060618004694291E-2</c:v>
                </c:pt>
                <c:pt idx="28">
                  <c:v>3.8401800157044405E-2</c:v>
                </c:pt>
                <c:pt idx="29">
                  <c:v>3.8773537037712323E-2</c:v>
                </c:pt>
                <c:pt idx="30">
                  <c:v>3.9207712900137123E-2</c:v>
                </c:pt>
                <c:pt idx="31">
                  <c:v>3.9702608535109561E-2</c:v>
                </c:pt>
                <c:pt idx="32">
                  <c:v>4.0255984590028056E-2</c:v>
                </c:pt>
                <c:pt idx="33">
                  <c:v>4.0865465411773341E-2</c:v>
                </c:pt>
                <c:pt idx="34">
                  <c:v>4.1528580863267599E-2</c:v>
                </c:pt>
                <c:pt idx="35">
                  <c:v>4.2242805196872464E-2</c:v>
                </c:pt>
                <c:pt idx="36">
                  <c:v>4.300559208373627E-2</c:v>
                </c:pt>
                <c:pt idx="37">
                  <c:v>4.3814405247958904E-2</c:v>
                </c:pt>
                <c:pt idx="38">
                  <c:v>4.4666744465875999E-2</c:v>
                </c:pt>
                <c:pt idx="39">
                  <c:v>4.5560166947841686E-2</c:v>
                </c:pt>
                <c:pt idx="40">
                  <c:v>4.6492304316288667E-2</c:v>
                </c:pt>
                <c:pt idx="41">
                  <c:v>4.7460875530793076E-2</c:v>
                </c:pt>
                <c:pt idx="42">
                  <c:v>4.8463696194660046E-2</c:v>
                </c:pt>
                <c:pt idx="43">
                  <c:v>4.9498684717222879E-2</c:v>
                </c:pt>
                <c:pt idx="44">
                  <c:v>5.0563865811561554E-2</c:v>
                </c:pt>
                <c:pt idx="45">
                  <c:v>5.1657371788274543E-2</c:v>
                </c:pt>
                <c:pt idx="46">
                  <c:v>5.2777442070663913E-2</c:v>
                </c:pt>
                <c:pt idx="47">
                  <c:v>5.3922421312107234E-2</c:v>
                </c:pt>
                <c:pt idx="48">
                  <c:v>5.5090756447759397E-2</c:v>
                </c:pt>
                <c:pt idx="49">
                  <c:v>5.6280992963878528E-2</c:v>
                </c:pt>
                <c:pt idx="50">
                  <c:v>5.749177062155756E-2</c:v>
                </c:pt>
                <c:pt idx="51">
                  <c:v>5.872181882904589E-2</c:v>
                </c:pt>
                <c:pt idx="52">
                  <c:v>5.9969951818961989E-2</c:v>
                </c:pt>
                <c:pt idx="53">
                  <c:v>6.1235063753815169E-2</c:v>
                </c:pt>
                <c:pt idx="54">
                  <c:v>6.2516123855264991E-2</c:v>
                </c:pt>
                <c:pt idx="55">
                  <c:v>6.3812171629146958E-2</c:v>
                </c:pt>
                <c:pt idx="56">
                  <c:v>6.5122312239020125E-2</c:v>
                </c:pt>
                <c:pt idx="57">
                  <c:v>6.6445712065362053E-2</c:v>
                </c:pt>
                <c:pt idx="58">
                  <c:v>6.7781594475029974E-2</c:v>
                </c:pt>
                <c:pt idx="59">
                  <c:v>6.9131450754864529E-2</c:v>
                </c:pt>
                <c:pt idx="60">
                  <c:v>7.0515707274954889E-2</c:v>
                </c:pt>
                <c:pt idx="61">
                  <c:v>7.1937653119502121E-2</c:v>
                </c:pt>
                <c:pt idx="62">
                  <c:v>7.3395097758885239E-2</c:v>
                </c:pt>
                <c:pt idx="63">
                  <c:v>7.4885968569356517E-2</c:v>
                </c:pt>
                <c:pt idx="64">
                  <c:v>7.6408308952265108E-2</c:v>
                </c:pt>
                <c:pt idx="65">
                  <c:v>7.7960275398171588E-2</c:v>
                </c:pt>
                <c:pt idx="66">
                  <c:v>7.9540133757824052E-2</c:v>
                </c:pt>
                <c:pt idx="67">
                  <c:v>8.1146254941963508E-2</c:v>
                </c:pt>
                <c:pt idx="68">
                  <c:v>8.2777110234892592E-2</c:v>
                </c:pt>
                <c:pt idx="69">
                  <c:v>8.4431266373380803E-2</c:v>
                </c:pt>
                <c:pt idx="70">
                  <c:v>8.5902109683640537E-2</c:v>
                </c:pt>
                <c:pt idx="71">
                  <c:v>0.10089852986668563</c:v>
                </c:pt>
                <c:pt idx="72">
                  <c:v>8.761812633984141E-2</c:v>
                </c:pt>
                <c:pt idx="73">
                  <c:v>0.10367846203581063</c:v>
                </c:pt>
                <c:pt idx="74">
                  <c:v>8.9335429611881109E-2</c:v>
                </c:pt>
                <c:pt idx="75">
                  <c:v>0.10591761871510155</c:v>
                </c:pt>
                <c:pt idx="76">
                  <c:v>9.1053946701969438E-2</c:v>
                </c:pt>
                <c:pt idx="77">
                  <c:v>0.10725208401020828</c:v>
                </c:pt>
                <c:pt idx="78">
                  <c:v>9.2773610156668893E-2</c:v>
                </c:pt>
                <c:pt idx="79">
                  <c:v>0.1086695281116709</c:v>
                </c:pt>
                <c:pt idx="80">
                  <c:v>9.4494357389363806E-2</c:v>
                </c:pt>
                <c:pt idx="81">
                  <c:v>0.11016674816258779</c:v>
                </c:pt>
                <c:pt idx="82">
                  <c:v>9.6216130252608043E-2</c:v>
                </c:pt>
                <c:pt idx="83">
                  <c:v>0.11174053743673423</c:v>
                </c:pt>
                <c:pt idx="84">
                  <c:v>9.7938874654427147E-2</c:v>
                </c:pt>
                <c:pt idx="85">
                  <c:v>0.11338770770152599</c:v>
                </c:pt>
                <c:pt idx="86">
                  <c:v>9.96625402134379E-2</c:v>
                </c:pt>
                <c:pt idx="87">
                  <c:v>0.11510510872323851</c:v>
                </c:pt>
                <c:pt idx="88">
                  <c:v>0.10138707994831207</c:v>
                </c:pt>
                <c:pt idx="89">
                  <c:v>0.11655231413157967</c:v>
                </c:pt>
                <c:pt idx="90">
                  <c:v>0.10311244999769179</c:v>
                </c:pt>
                <c:pt idx="91">
                  <c:v>0.11832686872577823</c:v>
                </c:pt>
                <c:pt idx="92">
                  <c:v>0.1048386093671521</c:v>
                </c:pt>
                <c:pt idx="93">
                  <c:v>0.12109671912135156</c:v>
                </c:pt>
                <c:pt idx="94">
                  <c:v>0.1065655197002337</c:v>
                </c:pt>
                <c:pt idx="95">
                  <c:v>0.12276102939801337</c:v>
                </c:pt>
                <c:pt idx="96">
                  <c:v>0.1082931450709335</c:v>
                </c:pt>
                <c:pt idx="97">
                  <c:v>0.12288257344482137</c:v>
                </c:pt>
                <c:pt idx="98">
                  <c:v>0.11002145179535833</c:v>
                </c:pt>
                <c:pt idx="99">
                  <c:v>0.12304047448581897</c:v>
                </c:pt>
                <c:pt idx="100">
                  <c:v>0.12316181599182521</c:v>
                </c:pt>
              </c:numCache>
            </c:numRef>
          </c:xVal>
          <c:yVal>
            <c:numRef>
              <c:f>Sheet2!$V$41:$V$141</c:f>
              <c:numCache>
                <c:formatCode>General</c:formatCode>
                <c:ptCount val="101"/>
                <c:pt idx="0">
                  <c:v>9.7295166403387937E-2</c:v>
                </c:pt>
                <c:pt idx="1">
                  <c:v>9.8042553184342726E-2</c:v>
                </c:pt>
                <c:pt idx="2">
                  <c:v>9.8789939965297474E-2</c:v>
                </c:pt>
                <c:pt idx="3">
                  <c:v>9.9537326746252208E-2</c:v>
                </c:pt>
                <c:pt idx="4">
                  <c:v>0.10028471352720698</c:v>
                </c:pt>
                <c:pt idx="5">
                  <c:v>0.10103210030816173</c:v>
                </c:pt>
                <c:pt idx="6">
                  <c:v>0.10177948708911651</c:v>
                </c:pt>
                <c:pt idx="7">
                  <c:v>0.10252687387007126</c:v>
                </c:pt>
                <c:pt idx="8">
                  <c:v>0.10327426065102603</c:v>
                </c:pt>
                <c:pt idx="9">
                  <c:v>0.10402164743198078</c:v>
                </c:pt>
                <c:pt idx="10">
                  <c:v>0.10476903421293554</c:v>
                </c:pt>
                <c:pt idx="11">
                  <c:v>0.1055164209938903</c:v>
                </c:pt>
                <c:pt idx="12">
                  <c:v>0.10626380777484508</c:v>
                </c:pt>
                <c:pt idx="13">
                  <c:v>0.10701119455579983</c:v>
                </c:pt>
                <c:pt idx="14">
                  <c:v>0.10775858133675459</c:v>
                </c:pt>
                <c:pt idx="15">
                  <c:v>0.10850596811770936</c:v>
                </c:pt>
                <c:pt idx="16">
                  <c:v>0.10925335489866413</c:v>
                </c:pt>
                <c:pt idx="17">
                  <c:v>0.11000074167961887</c:v>
                </c:pt>
                <c:pt idx="18">
                  <c:v>0.11074812846057362</c:v>
                </c:pt>
                <c:pt idx="19">
                  <c:v>0.1114955152415284</c:v>
                </c:pt>
                <c:pt idx="20">
                  <c:v>0.11224290202248316</c:v>
                </c:pt>
                <c:pt idx="21">
                  <c:v>0.11299028880343794</c:v>
                </c:pt>
                <c:pt idx="22">
                  <c:v>0.11373767558439268</c:v>
                </c:pt>
                <c:pt idx="23">
                  <c:v>0.11448506236534745</c:v>
                </c:pt>
                <c:pt idx="24">
                  <c:v>0.11523244914630221</c:v>
                </c:pt>
                <c:pt idx="25">
                  <c:v>0.11597983592725697</c:v>
                </c:pt>
                <c:pt idx="26">
                  <c:v>0.11672722270821172</c:v>
                </c:pt>
                <c:pt idx="27">
                  <c:v>0.11747460948916649</c:v>
                </c:pt>
                <c:pt idx="28">
                  <c:v>0.11822199627012124</c:v>
                </c:pt>
                <c:pt idx="29">
                  <c:v>0.11896938305107599</c:v>
                </c:pt>
                <c:pt idx="30">
                  <c:v>0.11971676983203075</c:v>
                </c:pt>
                <c:pt idx="31">
                  <c:v>0.12046415661298551</c:v>
                </c:pt>
                <c:pt idx="32">
                  <c:v>0.12121154339394027</c:v>
                </c:pt>
                <c:pt idx="33">
                  <c:v>0.12195893017489505</c:v>
                </c:pt>
                <c:pt idx="34">
                  <c:v>0.1227063169558498</c:v>
                </c:pt>
                <c:pt idx="35">
                  <c:v>0.12345370373680456</c:v>
                </c:pt>
                <c:pt idx="36">
                  <c:v>0.12420109051775931</c:v>
                </c:pt>
                <c:pt idx="37">
                  <c:v>0.1249484772987141</c:v>
                </c:pt>
                <c:pt idx="38">
                  <c:v>0.12569586407966885</c:v>
                </c:pt>
                <c:pt idx="39">
                  <c:v>0.12644325086062363</c:v>
                </c:pt>
                <c:pt idx="40">
                  <c:v>0.12719063764157837</c:v>
                </c:pt>
                <c:pt idx="41">
                  <c:v>0.12793802442253305</c:v>
                </c:pt>
                <c:pt idx="42">
                  <c:v>0.12868541120348778</c:v>
                </c:pt>
                <c:pt idx="43">
                  <c:v>0.12943279798444254</c:v>
                </c:pt>
                <c:pt idx="44">
                  <c:v>0.13018018476539731</c:v>
                </c:pt>
                <c:pt idx="45">
                  <c:v>0.13092757154635207</c:v>
                </c:pt>
                <c:pt idx="46">
                  <c:v>0.13167495832730683</c:v>
                </c:pt>
                <c:pt idx="47">
                  <c:v>0.13242234510826162</c:v>
                </c:pt>
                <c:pt idx="48">
                  <c:v>0.13316973188921633</c:v>
                </c:pt>
                <c:pt idx="49">
                  <c:v>0.13391711867017109</c:v>
                </c:pt>
                <c:pt idx="50">
                  <c:v>0.13466450545112585</c:v>
                </c:pt>
                <c:pt idx="51">
                  <c:v>0.13541189223208064</c:v>
                </c:pt>
                <c:pt idx="52">
                  <c:v>0.13615927901303537</c:v>
                </c:pt>
                <c:pt idx="53">
                  <c:v>0.13690666579399016</c:v>
                </c:pt>
                <c:pt idx="54">
                  <c:v>0.1376540525749449</c:v>
                </c:pt>
                <c:pt idx="55">
                  <c:v>0.13840143935589966</c:v>
                </c:pt>
                <c:pt idx="56">
                  <c:v>0.13914882613685442</c:v>
                </c:pt>
                <c:pt idx="57">
                  <c:v>0.13989621291780921</c:v>
                </c:pt>
                <c:pt idx="58">
                  <c:v>0.14064359969876397</c:v>
                </c:pt>
                <c:pt idx="59">
                  <c:v>0.14139098647971871</c:v>
                </c:pt>
                <c:pt idx="60">
                  <c:v>0.14213837326067347</c:v>
                </c:pt>
                <c:pt idx="61">
                  <c:v>0.14288576004162823</c:v>
                </c:pt>
                <c:pt idx="62">
                  <c:v>0.14363314682258299</c:v>
                </c:pt>
                <c:pt idx="63">
                  <c:v>0.14438053360353778</c:v>
                </c:pt>
                <c:pt idx="64">
                  <c:v>0.14512792038449254</c:v>
                </c:pt>
                <c:pt idx="65">
                  <c:v>0.14587530716544728</c:v>
                </c:pt>
                <c:pt idx="66">
                  <c:v>0.14662269394640204</c:v>
                </c:pt>
                <c:pt idx="67">
                  <c:v>0.14737008072735683</c:v>
                </c:pt>
                <c:pt idx="68">
                  <c:v>0.14811746750831151</c:v>
                </c:pt>
                <c:pt idx="69">
                  <c:v>0.14886485428926632</c:v>
                </c:pt>
                <c:pt idx="70">
                  <c:v>0.14961224107022106</c:v>
                </c:pt>
                <c:pt idx="71">
                  <c:v>0.1503596278511759</c:v>
                </c:pt>
                <c:pt idx="72">
                  <c:v>0.15110701463213064</c:v>
                </c:pt>
                <c:pt idx="73">
                  <c:v>0.1518544014130854</c:v>
                </c:pt>
                <c:pt idx="74">
                  <c:v>0.15260178819404011</c:v>
                </c:pt>
                <c:pt idx="75">
                  <c:v>0.15334917497499492</c:v>
                </c:pt>
                <c:pt idx="76">
                  <c:v>0.15409656175594966</c:v>
                </c:pt>
                <c:pt idx="77">
                  <c:v>0.15484394853690447</c:v>
                </c:pt>
                <c:pt idx="78">
                  <c:v>0.15559133531785915</c:v>
                </c:pt>
                <c:pt idx="79">
                  <c:v>0.15633872209881397</c:v>
                </c:pt>
                <c:pt idx="80">
                  <c:v>0.1570861088797687</c:v>
                </c:pt>
                <c:pt idx="81">
                  <c:v>0.15783349566072355</c:v>
                </c:pt>
                <c:pt idx="82">
                  <c:v>0.15858088244167823</c:v>
                </c:pt>
                <c:pt idx="83">
                  <c:v>0.15932826922263299</c:v>
                </c:pt>
                <c:pt idx="84">
                  <c:v>0.1600756560035877</c:v>
                </c:pt>
                <c:pt idx="85">
                  <c:v>0.16082304278454246</c:v>
                </c:pt>
                <c:pt idx="86">
                  <c:v>0.16157042956549722</c:v>
                </c:pt>
                <c:pt idx="87">
                  <c:v>0.16231781634645201</c:v>
                </c:pt>
                <c:pt idx="88">
                  <c:v>0.16306520312740672</c:v>
                </c:pt>
                <c:pt idx="89">
                  <c:v>0.16381258990836159</c:v>
                </c:pt>
                <c:pt idx="90">
                  <c:v>0.16455997668931624</c:v>
                </c:pt>
                <c:pt idx="91">
                  <c:v>0.16530736347027106</c:v>
                </c:pt>
                <c:pt idx="92">
                  <c:v>0.16605475025122576</c:v>
                </c:pt>
                <c:pt idx="93">
                  <c:v>0.16680213703218061</c:v>
                </c:pt>
                <c:pt idx="94">
                  <c:v>0.16754952381313531</c:v>
                </c:pt>
                <c:pt idx="95">
                  <c:v>0.16829691059409013</c:v>
                </c:pt>
                <c:pt idx="96">
                  <c:v>0.16904429737504484</c:v>
                </c:pt>
                <c:pt idx="97">
                  <c:v>0.16979168415599966</c:v>
                </c:pt>
                <c:pt idx="98">
                  <c:v>0.17053907093695431</c:v>
                </c:pt>
                <c:pt idx="99">
                  <c:v>0.17128645771790921</c:v>
                </c:pt>
                <c:pt idx="100">
                  <c:v>0.172033844498864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822-4079-AE86-4CCDBF4E80F1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Sheet2!$C$37:$C$39</c:f>
              <c:numCache>
                <c:formatCode>General</c:formatCode>
                <c:ptCount val="3"/>
                <c:pt idx="0" formatCode="0.0%">
                  <c:v>3.278023466686756E-2</c:v>
                </c:pt>
                <c:pt idx="2" formatCode="0.0%">
                  <c:v>0.12316181599182521</c:v>
                </c:pt>
              </c:numCache>
            </c:numRef>
          </c:xVal>
          <c:yVal>
            <c:numRef>
              <c:f>Sheet2!$D$37:$D$39</c:f>
              <c:numCache>
                <c:formatCode>General</c:formatCode>
                <c:ptCount val="3"/>
                <c:pt idx="0" formatCode="0.0%">
                  <c:v>9.7299051961963062E-2</c:v>
                </c:pt>
                <c:pt idx="2" formatCode="0.0%">
                  <c:v>0.172033844498864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822-4079-AE86-4CCDBF4E80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788928"/>
        <c:axId val="103791616"/>
      </c:scatterChart>
      <c:valAx>
        <c:axId val="103788928"/>
        <c:scaling>
          <c:orientation val="minMax"/>
          <c:min val="2.0000000000000004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Volatility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91616"/>
        <c:crosses val="autoZero"/>
        <c:crossBetween val="midCat"/>
      </c:valAx>
      <c:valAx>
        <c:axId val="103791616"/>
        <c:scaling>
          <c:orientation val="minMax"/>
          <c:min val="8.0000000000000016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Return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88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51429415767473508"/>
          <c:y val="0.68292563429571307"/>
          <c:w val="0.41239830206409384"/>
          <c:h val="0.157513560804899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590304915589255"/>
          <c:y val="6.1111111111111109E-2"/>
          <c:w val="0.80989935517319589"/>
          <c:h val="0.78211111111111109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Sheet2!$B$40</c:f>
              <c:strCache>
                <c:ptCount val="1"/>
                <c:pt idx="0">
                  <c:v>Efficient Frontier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Sheet2!$C$41:$C$200</c:f>
              <c:numCache>
                <c:formatCode>General</c:formatCode>
                <c:ptCount val="160"/>
                <c:pt idx="0">
                  <c:v>3.2780229834680062E-2</c:v>
                </c:pt>
                <c:pt idx="1">
                  <c:v>3.2790455247375928E-2</c:v>
                </c:pt>
                <c:pt idx="2">
                  <c:v>3.2820912992691999E-2</c:v>
                </c:pt>
                <c:pt idx="3">
                  <c:v>3.2871532076790992E-2</c:v>
                </c:pt>
                <c:pt idx="4">
                  <c:v>3.2942177116393037E-2</c:v>
                </c:pt>
                <c:pt idx="5">
                  <c:v>3.3033266698699194E-2</c:v>
                </c:pt>
                <c:pt idx="6">
                  <c:v>3.3143418552611319E-2</c:v>
                </c:pt>
                <c:pt idx="7">
                  <c:v>3.3272167078841515E-2</c:v>
                </c:pt>
                <c:pt idx="8">
                  <c:v>3.3411463917810372E-2</c:v>
                </c:pt>
                <c:pt idx="9">
                  <c:v>3.3558866582318866E-2</c:v>
                </c:pt>
                <c:pt idx="10">
                  <c:v>3.3714352105502825E-2</c:v>
                </c:pt>
                <c:pt idx="11">
                  <c:v>3.3877776428219285E-2</c:v>
                </c:pt>
                <c:pt idx="12">
                  <c:v>3.4049031694207893E-2</c:v>
                </c:pt>
                <c:pt idx="13">
                  <c:v>3.422798650749069E-2</c:v>
                </c:pt>
                <c:pt idx="14">
                  <c:v>3.4414561570275955E-2</c:v>
                </c:pt>
                <c:pt idx="15">
                  <c:v>3.4608884248398954E-2</c:v>
                </c:pt>
                <c:pt idx="16">
                  <c:v>3.4812739111584265E-2</c:v>
                </c:pt>
                <c:pt idx="17">
                  <c:v>3.5027530265554309E-2</c:v>
                </c:pt>
                <c:pt idx="18">
                  <c:v>3.5252842662987144E-2</c:v>
                </c:pt>
                <c:pt idx="19">
                  <c:v>3.5488481942455755E-2</c:v>
                </c:pt>
                <c:pt idx="20">
                  <c:v>3.5734278512272052E-2</c:v>
                </c:pt>
                <c:pt idx="21">
                  <c:v>3.5990513842862927E-2</c:v>
                </c:pt>
                <c:pt idx="22">
                  <c:v>3.6255459576960754E-2</c:v>
                </c:pt>
                <c:pt idx="23">
                  <c:v>3.6530814830611699E-2</c:v>
                </c:pt>
                <c:pt idx="24">
                  <c:v>3.6815008833226616E-2</c:v>
                </c:pt>
                <c:pt idx="25">
                  <c:v>3.7108302583559329E-2</c:v>
                </c:pt>
                <c:pt idx="26">
                  <c:v>3.7410346663464829E-2</c:v>
                </c:pt>
                <c:pt idx="27">
                  <c:v>3.7721254577320236E-2</c:v>
                </c:pt>
                <c:pt idx="28">
                  <c:v>3.8040434808210968E-2</c:v>
                </c:pt>
                <c:pt idx="29">
                  <c:v>3.8367954933686901E-2</c:v>
                </c:pt>
                <c:pt idx="30">
                  <c:v>3.8719200048768505E-2</c:v>
                </c:pt>
                <c:pt idx="31">
                  <c:v>3.9127747179400672E-2</c:v>
                </c:pt>
                <c:pt idx="32">
                  <c:v>3.9592559539108868E-2</c:v>
                </c:pt>
                <c:pt idx="33">
                  <c:v>4.011211392094112E-2</c:v>
                </c:pt>
                <c:pt idx="34">
                  <c:v>4.0684039575501894E-2</c:v>
                </c:pt>
                <c:pt idx="35">
                  <c:v>4.1306331898325409E-2</c:v>
                </c:pt>
                <c:pt idx="36">
                  <c:v>4.1976743048383683E-2</c:v>
                </c:pt>
                <c:pt idx="37">
                  <c:v>4.2692829104665576E-2</c:v>
                </c:pt>
                <c:pt idx="38">
                  <c:v>4.3452509846213377E-2</c:v>
                </c:pt>
                <c:pt idx="39">
                  <c:v>4.4253474459784004E-2</c:v>
                </c:pt>
                <c:pt idx="40">
                  <c:v>4.5093526903877412E-2</c:v>
                </c:pt>
                <c:pt idx="41">
                  <c:v>4.5970529427892814E-2</c:v>
                </c:pt>
                <c:pt idx="42">
                  <c:v>4.6882406183433527E-2</c:v>
                </c:pt>
                <c:pt idx="43">
                  <c:v>4.7827166419180188E-2</c:v>
                </c:pt>
                <c:pt idx="44">
                  <c:v>4.8802905384561862E-2</c:v>
                </c:pt>
                <c:pt idx="45">
                  <c:v>4.9807859515573476E-2</c:v>
                </c:pt>
                <c:pt idx="46">
                  <c:v>5.0840052818910922E-2</c:v>
                </c:pt>
                <c:pt idx="47">
                  <c:v>5.189569288563594E-2</c:v>
                </c:pt>
                <c:pt idx="48">
                  <c:v>5.2956402796728926E-2</c:v>
                </c:pt>
                <c:pt idx="49">
                  <c:v>5.4018650758427357E-2</c:v>
                </c:pt>
                <c:pt idx="50">
                  <c:v>5.5082223301444674E-2</c:v>
                </c:pt>
                <c:pt idx="51">
                  <c:v>5.6147307912877899E-2</c:v>
                </c:pt>
                <c:pt idx="52">
                  <c:v>5.7213380074263083E-2</c:v>
                </c:pt>
                <c:pt idx="53">
                  <c:v>5.8280775589476891E-2</c:v>
                </c:pt>
                <c:pt idx="54">
                  <c:v>5.9349367745249397E-2</c:v>
                </c:pt>
                <c:pt idx="55">
                  <c:v>6.0418876542782149E-2</c:v>
                </c:pt>
                <c:pt idx="56">
                  <c:v>6.1489476475282606E-2</c:v>
                </c:pt>
                <c:pt idx="57">
                  <c:v>6.2561025914353807E-2</c:v>
                </c:pt>
                <c:pt idx="58">
                  <c:v>6.3633527167774637E-2</c:v>
                </c:pt>
                <c:pt idx="59">
                  <c:v>6.4706831629464473E-2</c:v>
                </c:pt>
                <c:pt idx="60">
                  <c:v>6.5780942996268188E-2</c:v>
                </c:pt>
                <c:pt idx="61">
                  <c:v>6.6855867463328042E-2</c:v>
                </c:pt>
                <c:pt idx="62">
                  <c:v>6.793156182986497E-2</c:v>
                </c:pt>
                <c:pt idx="63">
                  <c:v>6.9007889477706905E-2</c:v>
                </c:pt>
                <c:pt idx="64">
                  <c:v>7.0085759032414763E-2</c:v>
                </c:pt>
                <c:pt idx="65">
                  <c:v>7.1176414626253778E-2</c:v>
                </c:pt>
                <c:pt idx="66">
                  <c:v>7.2283968423057149E-2</c:v>
                </c:pt>
                <c:pt idx="67">
                  <c:v>7.3407426078746507E-2</c:v>
                </c:pt>
                <c:pt idx="68">
                  <c:v>7.4546283075365857E-2</c:v>
                </c:pt>
                <c:pt idx="69">
                  <c:v>7.569975944559669E-2</c:v>
                </c:pt>
                <c:pt idx="70">
                  <c:v>7.6867263162970489E-2</c:v>
                </c:pt>
                <c:pt idx="71">
                  <c:v>7.8048039025406413E-2</c:v>
                </c:pt>
                <c:pt idx="72">
                  <c:v>7.9241529210234751E-2</c:v>
                </c:pt>
                <c:pt idx="73">
                  <c:v>8.0447193097522685E-2</c:v>
                </c:pt>
                <c:pt idx="74">
                  <c:v>8.1664511678084223E-2</c:v>
                </c:pt>
                <c:pt idx="75">
                  <c:v>8.2892953766217956E-2</c:v>
                </c:pt>
                <c:pt idx="76">
                  <c:v>8.4132022876364454E-2</c:v>
                </c:pt>
                <c:pt idx="77">
                  <c:v>8.5381262353885962E-2</c:v>
                </c:pt>
                <c:pt idx="78">
                  <c:v>8.6640258354199806E-2</c:v>
                </c:pt>
                <c:pt idx="79">
                  <c:v>8.7908517206816444E-2</c:v>
                </c:pt>
                <c:pt idx="80">
                  <c:v>8.9185711033778259E-2</c:v>
                </c:pt>
                <c:pt idx="81">
                  <c:v>9.0471438167532101E-2</c:v>
                </c:pt>
                <c:pt idx="82">
                  <c:v>9.1765395270626424E-2</c:v>
                </c:pt>
                <c:pt idx="83">
                  <c:v>9.306709333081295E-2</c:v>
                </c:pt>
                <c:pt idx="84">
                  <c:v>9.4376362125733429E-2</c:v>
                </c:pt>
                <c:pt idx="85">
                  <c:v>9.5692852076595322E-2</c:v>
                </c:pt>
                <c:pt idx="86">
                  <c:v>9.7016219077092111E-2</c:v>
                </c:pt>
                <c:pt idx="87">
                  <c:v>9.8346236470407786E-2</c:v>
                </c:pt>
                <c:pt idx="88">
                  <c:v>9.9682562316846926E-2</c:v>
                </c:pt>
                <c:pt idx="89">
                  <c:v>0.10102504740895323</c:v>
                </c:pt>
                <c:pt idx="90">
                  <c:v>0.10237343891989635</c:v>
                </c:pt>
                <c:pt idx="91">
                  <c:v>0.10373518444698179</c:v>
                </c:pt>
                <c:pt idx="92">
                  <c:v>0.10511988110999429</c:v>
                </c:pt>
                <c:pt idx="93">
                  <c:v>0.1065268370907466</c:v>
                </c:pt>
                <c:pt idx="94">
                  <c:v>0.10795511750157161</c:v>
                </c:pt>
                <c:pt idx="95">
                  <c:v>0.10940386797693041</c:v>
                </c:pt>
                <c:pt idx="96">
                  <c:v>0.11087230604944132</c:v>
                </c:pt>
                <c:pt idx="97">
                  <c:v>0.11235966659048774</c:v>
                </c:pt>
                <c:pt idx="98">
                  <c:v>0.11386520916397277</c:v>
                </c:pt>
                <c:pt idx="99">
                  <c:v>0.11538819644570883</c:v>
                </c:pt>
                <c:pt idx="100">
                  <c:v>#N/A</c:v>
                </c:pt>
              </c:numCache>
            </c:numRef>
          </c:xVal>
          <c:yVal>
            <c:numRef>
              <c:f>Sheet2!$E$41:$E$200</c:f>
              <c:numCache>
                <c:formatCode>General</c:formatCode>
                <c:ptCount val="160"/>
                <c:pt idx="0">
                  <c:v>0.54769733667168341</c:v>
                </c:pt>
                <c:pt idx="1">
                  <c:v>0.56945211215354086</c:v>
                </c:pt>
                <c:pt idx="2">
                  <c:v>0.59082888482009333</c:v>
                </c:pt>
                <c:pt idx="3">
                  <c:v>0.61179055477010136</c:v>
                </c:pt>
                <c:pt idx="4">
                  <c:v>0.63230314726808479</c:v>
                </c:pt>
                <c:pt idx="5">
                  <c:v>0.65232397050698576</c:v>
                </c:pt>
                <c:pt idx="6">
                  <c:v>0.67184804969709344</c:v>
                </c:pt>
                <c:pt idx="7">
                  <c:v>0.6908564291456748</c:v>
                </c:pt>
                <c:pt idx="8">
                  <c:v>0.7094942029324991</c:v>
                </c:pt>
                <c:pt idx="9">
                  <c:v>0.7278013792395982</c:v>
                </c:pt>
                <c:pt idx="10">
                  <c:v>0.745769597731053</c:v>
                </c:pt>
                <c:pt idx="11">
                  <c:v>0.76339391061969908</c:v>
                </c:pt>
                <c:pt idx="12">
                  <c:v>0.78066941499291653</c:v>
                </c:pt>
                <c:pt idx="13">
                  <c:v>0.79759255108309368</c:v>
                </c:pt>
                <c:pt idx="14">
                  <c:v>0.81415933319062217</c:v>
                </c:pt>
                <c:pt idx="15">
                  <c:v>0.83036152558386733</c:v>
                </c:pt>
                <c:pt idx="16">
                  <c:v>0.8461510383309212</c:v>
                </c:pt>
                <c:pt idx="17">
                  <c:v>0.86148765102173519</c:v>
                </c:pt>
                <c:pt idx="18">
                  <c:v>0.87637568658133858</c:v>
                </c:pt>
                <c:pt idx="19">
                  <c:v>0.89081532614257808</c:v>
                </c:pt>
                <c:pt idx="20">
                  <c:v>0.90480721551225063</c:v>
                </c:pt>
                <c:pt idx="21">
                  <c:v>0.91834149983225177</c:v>
                </c:pt>
                <c:pt idx="22">
                  <c:v>0.93146059322875296</c:v>
                </c:pt>
                <c:pt idx="23">
                  <c:v>0.94412023023352876</c:v>
                </c:pt>
                <c:pt idx="24">
                  <c:v>0.95636078456859441</c:v>
                </c:pt>
                <c:pt idx="25">
                  <c:v>0.96817632856955638</c:v>
                </c:pt>
                <c:pt idx="26">
                  <c:v>0.97957738557238894</c:v>
                </c:pt>
                <c:pt idx="27">
                  <c:v>0.99056299743472676</c:v>
                </c:pt>
                <c:pt idx="28">
                  <c:v>1.0011512385773751</c:v>
                </c:pt>
                <c:pt idx="29">
                  <c:v>1.0113433961878626</c:v>
                </c:pt>
                <c:pt idx="30">
                  <c:v>1.0207371851895817</c:v>
                </c:pt>
                <c:pt idx="31">
                  <c:v>1.0284537085466867</c:v>
                </c:pt>
                <c:pt idx="32">
                  <c:v>1.0345384737357308</c:v>
                </c:pt>
                <c:pt idx="33">
                  <c:v>1.039062055472382</c:v>
                </c:pt>
                <c:pt idx="34">
                  <c:v>1.0421267259979752</c:v>
                </c:pt>
                <c:pt idx="35">
                  <c:v>1.0438320810590207</c:v>
                </c:pt>
                <c:pt idx="36">
                  <c:v>1.0442883517421093</c:v>
                </c:pt>
                <c:pt idx="37">
                  <c:v>1.0436125730487027</c:v>
                </c:pt>
                <c:pt idx="38">
                  <c:v>1.0419127184146399</c:v>
                </c:pt>
                <c:pt idx="39">
                  <c:v>1.039300815142957</c:v>
                </c:pt>
                <c:pt idx="40">
                  <c:v>1.0358830792208316</c:v>
                </c:pt>
                <c:pt idx="41">
                  <c:v>1.0317603803033766</c:v>
                </c:pt>
                <c:pt idx="42">
                  <c:v>1.0270274985467549</c:v>
                </c:pt>
                <c:pt idx="43">
                  <c:v>1.0217722150476658</c:v>
                </c:pt>
                <c:pt idx="44">
                  <c:v>1.016075145608436</c:v>
                </c:pt>
                <c:pt idx="45">
                  <c:v>1.0100086433579489</c:v>
                </c:pt>
                <c:pt idx="46">
                  <c:v>1.0036440800482982</c:v>
                </c:pt>
                <c:pt idx="47">
                  <c:v>0.99708211967084459</c:v>
                </c:pt>
                <c:pt idx="48">
                  <c:v>0.99068694466898455</c:v>
                </c:pt>
                <c:pt idx="49">
                  <c:v>0.98451489557436722</c:v>
                </c:pt>
                <c:pt idx="50">
                  <c:v>0.9785573730145114</c:v>
                </c:pt>
                <c:pt idx="51">
                  <c:v>0.97279935917079685</c:v>
                </c:pt>
                <c:pt idx="52">
                  <c:v>0.96723903583635695</c:v>
                </c:pt>
                <c:pt idx="53">
                  <c:v>0.96186029503089221</c:v>
                </c:pt>
                <c:pt idx="54">
                  <c:v>0.95665574180974178</c:v>
                </c:pt>
                <c:pt idx="55">
                  <c:v>0.95162085327287593</c:v>
                </c:pt>
                <c:pt idx="56">
                  <c:v>0.94674431479323462</c:v>
                </c:pt>
                <c:pt idx="57">
                  <c:v>0.94202038464684479</c:v>
                </c:pt>
                <c:pt idx="58">
                  <c:v>0.93744153080832093</c:v>
                </c:pt>
                <c:pt idx="59">
                  <c:v>0.93300288426670053</c:v>
                </c:pt>
                <c:pt idx="60">
                  <c:v>0.92869769241025379</c:v>
                </c:pt>
                <c:pt idx="61">
                  <c:v>0.92451959317200538</c:v>
                </c:pt>
                <c:pt idx="62">
                  <c:v>0.92046328874512018</c:v>
                </c:pt>
                <c:pt idx="63">
                  <c:v>0.91652503378037309</c:v>
                </c:pt>
                <c:pt idx="64">
                  <c:v>0.9126876635271578</c:v>
                </c:pt>
                <c:pt idx="65">
                  <c:v>0.90880325204125878</c:v>
                </c:pt>
                <c:pt idx="66">
                  <c:v>0.90482451269606523</c:v>
                </c:pt>
                <c:pt idx="67">
                  <c:v>0.90077066394280669</c:v>
                </c:pt>
                <c:pt idx="68">
                  <c:v>0.89665376451918288</c:v>
                </c:pt>
                <c:pt idx="69">
                  <c:v>0.89248836810569387</c:v>
                </c:pt>
                <c:pt idx="70">
                  <c:v>0.88828587602958764</c:v>
                </c:pt>
                <c:pt idx="71">
                  <c:v>0.88405877305161229</c:v>
                </c:pt>
                <c:pt idx="72">
                  <c:v>0.87981647676255126</c:v>
                </c:pt>
                <c:pt idx="73">
                  <c:v>0.87556755871922132</c:v>
                </c:pt>
                <c:pt idx="74">
                  <c:v>0.87131974987929595</c:v>
                </c:pt>
                <c:pt idx="75">
                  <c:v>0.86708034937716327</c:v>
                </c:pt>
                <c:pt idx="76">
                  <c:v>0.86285576233382633</c:v>
                </c:pt>
                <c:pt idx="77">
                  <c:v>0.85865151366540104</c:v>
                </c:pt>
                <c:pt idx="78">
                  <c:v>0.85447228561202249</c:v>
                </c:pt>
                <c:pt idx="79">
                  <c:v>0.85032316981606293</c:v>
                </c:pt>
                <c:pt idx="80">
                  <c:v>0.84620728537672707</c:v>
                </c:pt>
                <c:pt idx="81">
                  <c:v>0.8421281831550177</c:v>
                </c:pt>
                <c:pt idx="82">
                  <c:v>0.83808822538940131</c:v>
                </c:pt>
                <c:pt idx="83">
                  <c:v>0.83409123374922556</c:v>
                </c:pt>
                <c:pt idx="84">
                  <c:v>0.83013791119146962</c:v>
                </c:pt>
                <c:pt idx="85">
                  <c:v>0.82623042189993734</c:v>
                </c:pt>
                <c:pt idx="86">
                  <c:v>0.8223706894185322</c:v>
                </c:pt>
                <c:pt idx="87">
                  <c:v>0.81855948208632956</c:v>
                </c:pt>
                <c:pt idx="88">
                  <c:v>0.81479841534732422</c:v>
                </c:pt>
                <c:pt idx="89">
                  <c:v>0.81108740196859408</c:v>
                </c:pt>
                <c:pt idx="90">
                  <c:v>0.80742713668644273</c:v>
                </c:pt>
                <c:pt idx="91">
                  <c:v>0.80375855624573145</c:v>
                </c:pt>
                <c:pt idx="92">
                  <c:v>0.8000103369423357</c:v>
                </c:pt>
                <c:pt idx="93">
                  <c:v>0.79619317765948905</c:v>
                </c:pt>
                <c:pt idx="94">
                  <c:v>0.79231899637553693</c:v>
                </c:pt>
                <c:pt idx="95">
                  <c:v>0.78839844852458585</c:v>
                </c:pt>
                <c:pt idx="96">
                  <c:v>0.78444105924863172</c:v>
                </c:pt>
                <c:pt idx="97">
                  <c:v>0.78045566779332298</c:v>
                </c:pt>
                <c:pt idx="98">
                  <c:v>0.77645040740893778</c:v>
                </c:pt>
                <c:pt idx="99">
                  <c:v>0.77243288493686857</c:v>
                </c:pt>
                <c:pt idx="10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6BE-48B9-ADA2-758E74F5EE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623680"/>
        <c:axId val="484645504"/>
      </c:scatterChart>
      <c:valAx>
        <c:axId val="189623680"/>
        <c:scaling>
          <c:orientation val="minMax"/>
          <c:min val="2.0000000000000004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Volatility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45504"/>
        <c:crosses val="autoZero"/>
        <c:crossBetween val="midCat"/>
      </c:valAx>
      <c:valAx>
        <c:axId val="484645504"/>
        <c:scaling>
          <c:orientation val="minMax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Sharpe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623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161925</xdr:colOff>
      <xdr:row>16</xdr:row>
      <xdr:rowOff>38100</xdr:rowOff>
    </xdr:from>
    <xdr:to>
      <xdr:col>14</xdr:col>
      <xdr:colOff>9525</xdr:colOff>
      <xdr:row>30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21</xdr:row>
      <xdr:rowOff>0</xdr:rowOff>
    </xdr:from>
    <xdr:to>
      <xdr:col>12</xdr:col>
      <xdr:colOff>504825</xdr:colOff>
      <xdr:row>35</xdr:row>
      <xdr:rowOff>19050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667B4B8D-DE0B-4D25-BC99-F2F8DAA164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18</xdr:col>
      <xdr:colOff>504825</xdr:colOff>
      <xdr:row>35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1D0ADFF0-9E3C-4999-99BB-5537CE6307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Citi Palette (Blue)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2D72"/>
      </a:accent1>
      <a:accent2>
        <a:srgbClr val="00BDF2"/>
      </a:accent2>
      <a:accent3>
        <a:srgbClr val="99ABC7"/>
      </a:accent3>
      <a:accent4>
        <a:srgbClr val="CCF2FC"/>
      </a:accent4>
      <a:accent5>
        <a:srgbClr val="00B0B9"/>
      </a:accent5>
      <a:accent6>
        <a:srgbClr val="99E2E3"/>
      </a:accent6>
      <a:hlink>
        <a:srgbClr val="0000FF"/>
      </a:hlink>
      <a:folHlink>
        <a:srgbClr val="800080"/>
      </a:folHlink>
    </a:clrScheme>
    <a:fontScheme name="ResearchFont">
      <a:majorFont>
        <a:latin typeface="Arial"/>
        <a:ea typeface=""/>
        <a:cs typeface=""/>
      </a:majorFont>
      <a:minorFont>
        <a:latin typeface="Arial Narrow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AD144"/>
  <sheetViews>
    <sheetView tabSelected="1" topLeftCell="A4" workbookViewId="0">
      <selection activeCell="B44" sqref="B44"/>
    </sheetView>
  </sheetViews>
  <sheetFormatPr defaultRowHeight="12.75" x14ac:dyDescent="0.2"/>
  <cols>
    <col min="1" max="1" width="14.85546875" customWidth="1"/>
    <col min="2" max="2" width="9.28515625" bestFit="1" customWidth="1"/>
    <col min="3" max="3" width="9.85546875" bestFit="1" customWidth="1"/>
    <col min="4" max="4" width="20.5703125" bestFit="1" customWidth="1"/>
    <col min="5" max="5" width="9.28515625" bestFit="1" customWidth="1"/>
    <col min="6" max="6" width="9.28515625" customWidth="1"/>
    <col min="7" max="14" width="9.140625" customWidth="1"/>
  </cols>
  <sheetData>
    <row r="4" spans="1:27" x14ac:dyDescent="0.2">
      <c r="A4" s="2"/>
      <c r="B4" s="3" t="s">
        <v>0</v>
      </c>
      <c r="C4" s="4"/>
      <c r="D4" s="3" t="s">
        <v>1</v>
      </c>
      <c r="E4" s="3" t="s">
        <v>2</v>
      </c>
      <c r="F4" s="4"/>
      <c r="G4" s="5" t="s">
        <v>3</v>
      </c>
      <c r="H4" s="5"/>
      <c r="I4" s="5"/>
      <c r="J4" s="5"/>
      <c r="K4" s="5"/>
      <c r="L4" s="5"/>
      <c r="M4" s="5"/>
      <c r="N4" s="5"/>
      <c r="O4" s="5"/>
      <c r="P4" s="5"/>
      <c r="R4" s="27" t="s">
        <v>79</v>
      </c>
      <c r="S4" s="27"/>
      <c r="T4" s="27"/>
      <c r="U4" s="27"/>
      <c r="V4" s="27"/>
      <c r="W4" s="27"/>
      <c r="X4" s="27"/>
      <c r="Y4" s="27"/>
      <c r="Z4" s="27"/>
    </row>
    <row r="5" spans="1:27" x14ac:dyDescent="0.2">
      <c r="A5" s="6" t="s">
        <v>15</v>
      </c>
      <c r="B5" s="7">
        <v>0.107</v>
      </c>
      <c r="C5" s="1"/>
      <c r="D5" s="8">
        <v>0.01</v>
      </c>
      <c r="E5" s="8">
        <v>0.75</v>
      </c>
      <c r="F5" s="9"/>
      <c r="G5" s="7">
        <v>1.6264206901362578E-2</v>
      </c>
      <c r="H5" s="7">
        <v>1.1670925260129745E-2</v>
      </c>
      <c r="I5" s="7">
        <v>8.1710582837687395E-3</v>
      </c>
      <c r="J5" s="7">
        <v>9.7334173463493445E-3</v>
      </c>
      <c r="K5" s="7">
        <v>9.5476440877091239E-3</v>
      </c>
      <c r="L5" s="7">
        <v>1.4859077223220666E-3</v>
      </c>
      <c r="M5" s="7">
        <v>7.7393481695183421E-3</v>
      </c>
      <c r="N5" s="7">
        <v>3.2318255533484962E-3</v>
      </c>
      <c r="O5" s="7">
        <v>2.191689500106456E-3</v>
      </c>
      <c r="P5" s="7">
        <v>3.1680119071684039E-3</v>
      </c>
      <c r="R5" s="49">
        <f>_xlfn.COVARIANCE.S(PriceData!$B$3:$B$262,PriceData!B$3:B$262)</f>
        <v>1.6264206901362578E-2</v>
      </c>
      <c r="S5" s="49">
        <f>_xlfn.COVARIANCE.S(PriceData!$B$3:$B$262,PriceData!C$3:C$262)</f>
        <v>1.2463882119393255E-2</v>
      </c>
      <c r="T5" s="49">
        <f>_xlfn.COVARIANCE.S(PriceData!$B$3:$B$262,PriceData!D$3:D$262)</f>
        <v>9.010934535999238E-3</v>
      </c>
      <c r="U5" s="49">
        <f>_xlfn.COVARIANCE.S(PriceData!$B$3:$B$262,PriceData!E$3:E$262)</f>
        <v>1.0769496296489498E-2</v>
      </c>
      <c r="V5" s="49">
        <f>_xlfn.COVARIANCE.S(PriceData!$B$3:$B$262,PriceData!F$3:F$262)</f>
        <v>1.0571268525153167E-2</v>
      </c>
      <c r="W5" s="49">
        <f>_xlfn.COVARIANCE.S(PriceData!$B$3:$B$262,PriceData!G$3:G$262)</f>
        <v>1.8532339581876407E-3</v>
      </c>
      <c r="X5" s="49">
        <f>_xlfn.COVARIANCE.S(PriceData!$B$3:$B$262,PriceData!H$3:H$262)</f>
        <v>8.3444456046887598E-3</v>
      </c>
      <c r="Y5" s="49">
        <f>_xlfn.COVARIANCE.S(PriceData!$B$3:$B$262,PriceData!I$3:I$262)</f>
        <v>3.5333797006054965E-3</v>
      </c>
      <c r="Z5" s="49">
        <f>_xlfn.COVARIANCE.S(PriceData!$B$3:$B$262,PriceData!J$3:J$262)</f>
        <v>2.9141947494887555E-3</v>
      </c>
      <c r="AA5" s="49">
        <f>_xlfn.COVARIANCE.S(PriceData!$B$3:$B$262,PriceData!K$3:K$262)</f>
        <v>3.4522428908654807E-3</v>
      </c>
    </row>
    <row r="6" spans="1:27" x14ac:dyDescent="0.2">
      <c r="A6" s="6" t="s">
        <v>16</v>
      </c>
      <c r="B6" s="7">
        <v>6.3E-2</v>
      </c>
      <c r="C6" s="1"/>
      <c r="D6" s="8">
        <v>0.01</v>
      </c>
      <c r="E6" s="8">
        <v>0.75</v>
      </c>
      <c r="F6" s="9"/>
      <c r="G6" s="7">
        <v>1.1670925260129745E-2</v>
      </c>
      <c r="H6" s="7">
        <v>1.750696456794017E-2</v>
      </c>
      <c r="I6" s="7">
        <v>1.2074923199556078E-2</v>
      </c>
      <c r="J6" s="7">
        <v>1.272756139742234E-2</v>
      </c>
      <c r="K6" s="7">
        <v>1.2706395941121542E-2</v>
      </c>
      <c r="L6" s="7">
        <v>2.6180379692484529E-3</v>
      </c>
      <c r="M6" s="7">
        <v>1.2972480168664976E-2</v>
      </c>
      <c r="N6" s="7">
        <v>5.3755432227674382E-3</v>
      </c>
      <c r="O6" s="7">
        <v>3.4401104916202472E-3</v>
      </c>
      <c r="P6" s="7">
        <v>5.226879279866945E-3</v>
      </c>
      <c r="R6" s="49">
        <f>_xlfn.COVARIANCE.S(PriceData!$C$3:$C$262,PriceData!B$3:B$262)</f>
        <v>1.2463882119393255E-2</v>
      </c>
      <c r="S6" s="49">
        <f>_xlfn.COVARIANCE.S(PriceData!$C$3:$C$262,PriceData!C$3:C$262)</f>
        <v>1.7506964567940157E-2</v>
      </c>
      <c r="T6" s="49">
        <f>_xlfn.COVARIANCE.S(PriceData!$C$3:$C$262,PriceData!D$3:D$262)</f>
        <v>1.2345773211446998E-2</v>
      </c>
      <c r="U6" s="49">
        <f>_xlfn.COVARIANCE.S(PriceData!$C$3:$C$262,PriceData!E$3:E$262)</f>
        <v>1.3094577899208365E-2</v>
      </c>
      <c r="V6" s="49">
        <f>_xlfn.COVARIANCE.S(PriceData!$C$3:$C$262,PriceData!F$3:F$262)</f>
        <v>1.3079605054851439E-2</v>
      </c>
      <c r="W6" s="49">
        <f>_xlfn.COVARIANCE.S(PriceData!$C$3:$C$262,PriceData!G$3:G$262)</f>
        <v>2.8349549292869978E-3</v>
      </c>
      <c r="X6" s="49">
        <f>_xlfn.COVARIANCE.S(PriceData!$C$3:$C$262,PriceData!H$3:H$262)</f>
        <v>1.304872260255632E-2</v>
      </c>
      <c r="Y6" s="49">
        <f>_xlfn.COVARIANCE.S(PriceData!$C$3:$C$262,PriceData!I$3:I$262)</f>
        <v>5.8332940884986148E-3</v>
      </c>
      <c r="Z6" s="49">
        <f>_xlfn.COVARIANCE.S(PriceData!$C$3:$C$262,PriceData!J$3:J$262)</f>
        <v>4.1909837259717485E-3</v>
      </c>
      <c r="AA6" s="49">
        <f>_xlfn.COVARIANCE.S(PriceData!$C$3:$C$262,PriceData!K$3:K$262)</f>
        <v>5.605162139646569E-3</v>
      </c>
    </row>
    <row r="7" spans="1:27" x14ac:dyDescent="0.2">
      <c r="A7" s="6" t="s">
        <v>17</v>
      </c>
      <c r="B7" s="7">
        <v>0.13500000000000001</v>
      </c>
      <c r="C7" s="1"/>
      <c r="D7" s="8">
        <v>0.01</v>
      </c>
      <c r="E7" s="8">
        <v>0.25</v>
      </c>
      <c r="F7" s="9"/>
      <c r="G7" s="7">
        <v>8.1710582837687395E-3</v>
      </c>
      <c r="H7" s="7">
        <v>1.2074923199556078E-2</v>
      </c>
      <c r="I7" s="7">
        <v>2.2050984283751393E-2</v>
      </c>
      <c r="J7" s="7">
        <v>1.4186871532534957E-2</v>
      </c>
      <c r="K7" s="7">
        <v>1.4129098765889183E-2</v>
      </c>
      <c r="L7" s="7">
        <v>4.6384458761813659E-3</v>
      </c>
      <c r="M7" s="7">
        <v>1.0005774002967168E-2</v>
      </c>
      <c r="N7" s="7">
        <v>1.4087947569021593E-3</v>
      </c>
      <c r="O7" s="7">
        <v>1.782547098866711E-3</v>
      </c>
      <c r="P7" s="7">
        <v>1.1275989139239574E-3</v>
      </c>
      <c r="R7" s="49">
        <f>_xlfn.COVARIANCE.S(PriceData!$D$3:$D$262,PriceData!B$3:B$262)</f>
        <v>9.010934535999238E-3</v>
      </c>
      <c r="S7" s="49">
        <f>_xlfn.COVARIANCE.S(PriceData!$D$3:$D$262,PriceData!C$3:C$262)</f>
        <v>1.2345773211446998E-2</v>
      </c>
      <c r="T7" s="49">
        <f>_xlfn.COVARIANCE.S(PriceData!$D$3:$D$262,PriceData!D$3:D$262)</f>
        <v>2.2050984283751393E-2</v>
      </c>
      <c r="U7" s="49">
        <f>_xlfn.COVARIANCE.S(PriceData!$D$3:$D$262,PriceData!E$3:E$262)</f>
        <v>1.3957039752616031E-2</v>
      </c>
      <c r="V7" s="49">
        <f>_xlfn.COVARIANCE.S(PriceData!$D$3:$D$262,PriceData!F$3:F$262)</f>
        <v>1.3924947460660921E-2</v>
      </c>
      <c r="W7" s="49">
        <f>_xlfn.COVARIANCE.S(PriceData!$D$3:$D$262,PriceData!G$3:G$262)</f>
        <v>4.6784485964539105E-3</v>
      </c>
      <c r="X7" s="49">
        <f>_xlfn.COVARIANCE.S(PriceData!$D$3:$D$262,PriceData!H$3:H$262)</f>
        <v>1.0329817955201824E-2</v>
      </c>
      <c r="Y7" s="49">
        <f>_xlfn.COVARIANCE.S(PriceData!$D$3:$D$262,PriceData!I$3:I$262)</f>
        <v>1.4224546754772773E-3</v>
      </c>
      <c r="Z7" s="49">
        <f>_xlfn.COVARIANCE.S(PriceData!$D$3:$D$262,PriceData!J$3:J$262)</f>
        <v>2.4940816136183488E-3</v>
      </c>
      <c r="AA7" s="49">
        <f>_xlfn.COVARIANCE.S(PriceData!$D$3:$D$262,PriceData!K$3:K$262)</f>
        <v>1.2143276838680278E-3</v>
      </c>
    </row>
    <row r="8" spans="1:27" x14ac:dyDescent="0.2">
      <c r="A8" s="6" t="s">
        <v>18</v>
      </c>
      <c r="B8" s="7">
        <v>6.9000000000000006E-2</v>
      </c>
      <c r="C8" s="1"/>
      <c r="D8" s="8">
        <v>0.01</v>
      </c>
      <c r="E8" s="8">
        <v>0.75</v>
      </c>
      <c r="F8" s="9"/>
      <c r="G8" s="7">
        <v>9.7334173463493445E-3</v>
      </c>
      <c r="H8" s="7">
        <v>1.272756139742234E-2</v>
      </c>
      <c r="I8" s="7">
        <v>1.4186871532534957E-2</v>
      </c>
      <c r="J8" s="7">
        <v>1.2422215755644431E-2</v>
      </c>
      <c r="K8" s="7">
        <v>1.2334565704775554E-2</v>
      </c>
      <c r="L8" s="7">
        <v>3.1525201111111999E-3</v>
      </c>
      <c r="M8" s="7">
        <v>9.0188891857185607E-3</v>
      </c>
      <c r="N8" s="7">
        <v>2.8950528851288057E-3</v>
      </c>
      <c r="O8" s="7">
        <v>2.1668925660407799E-3</v>
      </c>
      <c r="P8" s="7">
        <v>2.6719368045720784E-3</v>
      </c>
      <c r="R8" s="49">
        <f>_xlfn.COVARIANCE.S(PriceData!$E$3:$E$262,PriceData!B$3:B$262)</f>
        <v>1.0769496296489498E-2</v>
      </c>
      <c r="S8" s="49">
        <f>_xlfn.COVARIANCE.S(PriceData!$E$3:$E$262,PriceData!C$3:C$262)</f>
        <v>1.3094577899208365E-2</v>
      </c>
      <c r="T8" s="49">
        <f>_xlfn.COVARIANCE.S(PriceData!$E$3:$E$262,PriceData!D$3:D$262)</f>
        <v>1.3957039752616031E-2</v>
      </c>
      <c r="U8" s="49">
        <f>_xlfn.COVARIANCE.S(PriceData!$E$3:$E$262,PriceData!E$3:E$262)</f>
        <v>1.2422215755644428E-2</v>
      </c>
      <c r="V8" s="49">
        <f>_xlfn.COVARIANCE.S(PriceData!$E$3:$E$262,PriceData!F$3:F$262)</f>
        <v>1.2336216967212097E-2</v>
      </c>
      <c r="W8" s="49">
        <f>_xlfn.COVARIANCE.S(PriceData!$E$3:$E$262,PriceData!G$3:G$262)</f>
        <v>3.1874575173853319E-3</v>
      </c>
      <c r="X8" s="49">
        <f>_xlfn.COVARIANCE.S(PriceData!$E$3:$E$262,PriceData!H$3:H$262)</f>
        <v>9.3822273543610925E-3</v>
      </c>
      <c r="Y8" s="49">
        <f>_xlfn.COVARIANCE.S(PriceData!$E$3:$E$262,PriceData!I$3:I$262)</f>
        <v>3.2309774326981467E-3</v>
      </c>
      <c r="Z8" s="49">
        <f>_xlfn.COVARIANCE.S(PriceData!$E$3:$E$262,PriceData!J$3:J$262)</f>
        <v>2.8891769183132065E-3</v>
      </c>
      <c r="AA8" s="49">
        <f>_xlfn.COVARIANCE.S(PriceData!$E$3:$E$262,PriceData!K$3:K$262)</f>
        <v>3.035579049137275E-3</v>
      </c>
    </row>
    <row r="9" spans="1:27" x14ac:dyDescent="0.2">
      <c r="A9" s="6" t="s">
        <v>19</v>
      </c>
      <c r="B9" s="7">
        <v>0.109</v>
      </c>
      <c r="C9" s="1"/>
      <c r="D9" s="8">
        <v>0.01</v>
      </c>
      <c r="E9" s="8">
        <v>0.1</v>
      </c>
      <c r="F9" s="9"/>
      <c r="G9" s="7">
        <v>9.5476440877091239E-3</v>
      </c>
      <c r="H9" s="7">
        <v>1.2706395941121542E-2</v>
      </c>
      <c r="I9" s="7">
        <v>1.4129098765889183E-2</v>
      </c>
      <c r="J9" s="7">
        <v>1.2334565704775554E-2</v>
      </c>
      <c r="K9" s="7">
        <v>1.2276052827819718E-2</v>
      </c>
      <c r="L9" s="7">
        <v>3.1236340974047754E-3</v>
      </c>
      <c r="M9" s="7">
        <v>8.9537577690349136E-3</v>
      </c>
      <c r="N9" s="7">
        <v>2.8906098517211356E-3</v>
      </c>
      <c r="O9" s="7">
        <v>2.0984351835694388E-3</v>
      </c>
      <c r="P9" s="7">
        <v>2.6594034888329462E-3</v>
      </c>
      <c r="R9" s="49">
        <f>_xlfn.COVARIANCE.S(PriceData!$F$3:$F$262,PriceData!B$3:B$262)</f>
        <v>1.0571268525153167E-2</v>
      </c>
      <c r="S9" s="49">
        <f>_xlfn.COVARIANCE.S(PriceData!$F$3:$F$262,PriceData!C$3:C$262)</f>
        <v>1.3079605054851439E-2</v>
      </c>
      <c r="T9" s="49">
        <f>_xlfn.COVARIANCE.S(PriceData!$F$3:$F$262,PriceData!D$3:D$262)</f>
        <v>1.3924947460660921E-2</v>
      </c>
      <c r="U9" s="49">
        <f>_xlfn.COVARIANCE.S(PriceData!$F$3:$F$262,PriceData!E$3:E$262)</f>
        <v>1.2336216967212097E-2</v>
      </c>
      <c r="V9" s="49">
        <f>_xlfn.COVARIANCE.S(PriceData!$F$3:$F$262,PriceData!F$3:F$262)</f>
        <v>1.2276052827819751E-2</v>
      </c>
      <c r="W9" s="49">
        <f>_xlfn.COVARIANCE.S(PriceData!$F$3:$F$262,PriceData!G$3:G$262)</f>
        <v>3.1669385786594366E-3</v>
      </c>
      <c r="X9" s="49">
        <f>_xlfn.COVARIANCE.S(PriceData!$F$3:$F$262,PriceData!H$3:H$262)</f>
        <v>9.3447642314844048E-3</v>
      </c>
      <c r="Y9" s="49">
        <f>_xlfn.COVARIANCE.S(PriceData!$F$3:$F$262,PriceData!I$3:I$262)</f>
        <v>3.2440028725319891E-3</v>
      </c>
      <c r="Z9" s="49">
        <f>_xlfn.COVARIANCE.S(PriceData!$F$3:$F$262,PriceData!J$3:J$262)</f>
        <v>2.8358561939129294E-3</v>
      </c>
      <c r="AA9" s="49">
        <f>_xlfn.COVARIANCE.S(PriceData!$F$3:$F$262,PriceData!K$3:K$262)</f>
        <v>3.0397900292082267E-3</v>
      </c>
    </row>
    <row r="10" spans="1:27" x14ac:dyDescent="0.2">
      <c r="A10" s="6" t="s">
        <v>20</v>
      </c>
      <c r="B10" s="7">
        <v>0.13500000000000001</v>
      </c>
      <c r="C10" s="1"/>
      <c r="D10" s="8">
        <v>0.01</v>
      </c>
      <c r="E10" s="8">
        <v>0.75</v>
      </c>
      <c r="F10" s="9"/>
      <c r="G10" s="7">
        <v>1.4859077223220666E-3</v>
      </c>
      <c r="H10" s="7">
        <v>2.6180379692484529E-3</v>
      </c>
      <c r="I10" s="7">
        <v>4.6384458761813659E-3</v>
      </c>
      <c r="J10" s="7">
        <v>3.1525201111111999E-3</v>
      </c>
      <c r="K10" s="7">
        <v>3.1236340974047754E-3</v>
      </c>
      <c r="L10" s="7">
        <v>1.2803000737923904E-3</v>
      </c>
      <c r="M10" s="7">
        <v>2.0076625254481098E-3</v>
      </c>
      <c r="N10" s="7">
        <v>1.3504251725752968E-4</v>
      </c>
      <c r="O10" s="7">
        <v>4.415491217004807E-4</v>
      </c>
      <c r="P10" s="7">
        <v>1.1231229807605954E-4</v>
      </c>
      <c r="R10" s="49">
        <f>_xlfn.COVARIANCE.S(PriceData!$G$3:$G$262,PriceData!B$3:B$262)</f>
        <v>1.8532339581876407E-3</v>
      </c>
      <c r="S10" s="49">
        <f>_xlfn.COVARIANCE.S(PriceData!$G$3:$G$262,PriceData!C$3:C$262)</f>
        <v>2.8349549292869978E-3</v>
      </c>
      <c r="T10" s="49">
        <f>_xlfn.COVARIANCE.S(PriceData!$G$3:$G$262,PriceData!D$3:D$262)</f>
        <v>4.6784485964539105E-3</v>
      </c>
      <c r="U10" s="49">
        <f>_xlfn.COVARIANCE.S(PriceData!$G$3:$G$262,PriceData!E$3:E$262)</f>
        <v>3.1874575173853319E-3</v>
      </c>
      <c r="V10" s="49">
        <f>_xlfn.COVARIANCE.S(PriceData!$G$3:$G$262,PriceData!F$3:F$262)</f>
        <v>3.1669385786594366E-3</v>
      </c>
      <c r="W10" s="49">
        <f>_xlfn.COVARIANCE.S(PriceData!$G$3:$G$262,PriceData!G$3:G$262)</f>
        <v>1.2803000737924225E-3</v>
      </c>
      <c r="X10" s="49">
        <f>_xlfn.COVARIANCE.S(PriceData!$G$3:$G$262,PriceData!H$3:H$262)</f>
        <v>2.0799561154009882E-3</v>
      </c>
      <c r="Y10" s="49">
        <f>_xlfn.COVARIANCE.S(PriceData!$G$3:$G$262,PriceData!I$3:I$262)</f>
        <v>2.3328493717723829E-4</v>
      </c>
      <c r="Z10" s="49">
        <f>_xlfn.COVARIANCE.S(PriceData!$G$3:$G$262,PriceData!J$3:J$262)</f>
        <v>5.833458292424156E-4</v>
      </c>
      <c r="AA10" s="49">
        <f>_xlfn.COVARIANCE.S(PriceData!$G$3:$G$262,PriceData!K$3:K$262)</f>
        <v>2.2005238314389832E-4</v>
      </c>
    </row>
    <row r="11" spans="1:27" x14ac:dyDescent="0.2">
      <c r="A11" s="6" t="s">
        <v>21</v>
      </c>
      <c r="B11" s="7">
        <v>3.6999999999999998E-2</v>
      </c>
      <c r="C11" s="1"/>
      <c r="D11" s="8">
        <v>0.01</v>
      </c>
      <c r="E11" s="8">
        <v>0.75</v>
      </c>
      <c r="F11" s="9"/>
      <c r="G11" s="7">
        <v>7.7393481695183421E-3</v>
      </c>
      <c r="H11" s="7">
        <v>1.2972480168664976E-2</v>
      </c>
      <c r="I11" s="7">
        <v>1.0005774002967168E-2</v>
      </c>
      <c r="J11" s="7">
        <v>9.0188891857185607E-3</v>
      </c>
      <c r="K11" s="7">
        <v>8.9537577690349136E-3</v>
      </c>
      <c r="L11" s="7">
        <v>2.0076625254481098E-3</v>
      </c>
      <c r="M11" s="7">
        <v>1.5656889614950771E-2</v>
      </c>
      <c r="N11" s="7">
        <v>5.5226514761671525E-3</v>
      </c>
      <c r="O11" s="7">
        <v>3.2482142519896871E-3</v>
      </c>
      <c r="P11" s="7">
        <v>5.2006443634937897E-3</v>
      </c>
      <c r="R11" s="49">
        <f>_xlfn.COVARIANCE.S(PriceData!$H$3:$H$262,PriceData!B$3:B$262)</f>
        <v>8.3444456046887598E-3</v>
      </c>
      <c r="S11" s="49">
        <f>_xlfn.COVARIANCE.S(PriceData!$H$3:$H$262,PriceData!C$3:C$262)</f>
        <v>1.304872260255632E-2</v>
      </c>
      <c r="T11" s="49">
        <f>_xlfn.COVARIANCE.S(PriceData!$H$3:$H$262,PriceData!D$3:D$262)</f>
        <v>1.0329817955201824E-2</v>
      </c>
      <c r="U11" s="49">
        <f>_xlfn.COVARIANCE.S(PriceData!$H$3:$H$262,PriceData!E$3:E$262)</f>
        <v>9.3822273543610925E-3</v>
      </c>
      <c r="V11" s="49">
        <f>_xlfn.COVARIANCE.S(PriceData!$H$3:$H$262,PriceData!F$3:F$262)</f>
        <v>9.3447642314844048E-3</v>
      </c>
      <c r="W11" s="49">
        <f>_xlfn.COVARIANCE.S(PriceData!$H$3:$H$262,PriceData!G$3:G$262)</f>
        <v>2.0799561154009882E-3</v>
      </c>
      <c r="X11" s="49">
        <f>_xlfn.COVARIANCE.S(PriceData!$H$3:$H$262,PriceData!H$3:H$262)</f>
        <v>1.5656889614950768E-2</v>
      </c>
      <c r="Y11" s="49">
        <f>_xlfn.COVARIANCE.S(PriceData!$H$3:$H$262,PriceData!I$3:I$262)</f>
        <v>5.8486210861379805E-3</v>
      </c>
      <c r="Z11" s="49">
        <f>_xlfn.COVARIANCE.S(PriceData!$H$3:$H$262,PriceData!J$3:J$262)</f>
        <v>3.7553711392664885E-3</v>
      </c>
      <c r="AA11" s="49">
        <f>_xlfn.COVARIANCE.S(PriceData!$H$3:$H$262,PriceData!K$3:K$262)</f>
        <v>5.453963997394444E-3</v>
      </c>
    </row>
    <row r="12" spans="1:27" x14ac:dyDescent="0.2">
      <c r="A12" s="6" t="s">
        <v>22</v>
      </c>
      <c r="B12" s="7">
        <v>5.6000000000000001E-2</v>
      </c>
      <c r="C12" s="1"/>
      <c r="D12" s="8">
        <v>0.01</v>
      </c>
      <c r="E12" s="8">
        <v>0.75</v>
      </c>
      <c r="F12" s="9"/>
      <c r="G12" s="7">
        <v>3.2318255533484962E-3</v>
      </c>
      <c r="H12" s="7">
        <v>5.3755432227674382E-3</v>
      </c>
      <c r="I12" s="7">
        <v>1.4087947569021593E-3</v>
      </c>
      <c r="J12" s="7">
        <v>2.8950528851288057E-3</v>
      </c>
      <c r="K12" s="7">
        <v>2.8906098517211356E-3</v>
      </c>
      <c r="L12" s="7">
        <v>1.3504251725752968E-4</v>
      </c>
      <c r="M12" s="7">
        <v>5.5226514761671525E-3</v>
      </c>
      <c r="N12" s="7">
        <v>6.3017503407905434E-3</v>
      </c>
      <c r="O12" s="7">
        <v>2.1725844010538698E-3</v>
      </c>
      <c r="P12" s="7">
        <v>5.6932037341784272E-3</v>
      </c>
      <c r="R12" s="49">
        <f>_xlfn.COVARIANCE.S(PriceData!$I$3:$I$262,PriceData!B$3:B$262)</f>
        <v>3.5333797006054965E-3</v>
      </c>
      <c r="S12" s="49">
        <f>_xlfn.COVARIANCE.S(PriceData!$I$3:$I$262,PriceData!C$3:C$262)</f>
        <v>5.8332940884986148E-3</v>
      </c>
      <c r="T12" s="49">
        <f>_xlfn.COVARIANCE.S(PriceData!$I$3:$I$262,PriceData!D$3:D$262)</f>
        <v>1.4224546754772773E-3</v>
      </c>
      <c r="U12" s="49">
        <f>_xlfn.COVARIANCE.S(PriceData!$I$3:$I$262,PriceData!E$3:E$262)</f>
        <v>3.2309774326981467E-3</v>
      </c>
      <c r="V12" s="49">
        <f>_xlfn.COVARIANCE.S(PriceData!$I$3:$I$262,PriceData!F$3:F$262)</f>
        <v>3.2440028725319891E-3</v>
      </c>
      <c r="W12" s="49">
        <f>_xlfn.COVARIANCE.S(PriceData!$I$3:$I$262,PriceData!G$3:G$262)</f>
        <v>2.3328493717723829E-4</v>
      </c>
      <c r="X12" s="49">
        <f>_xlfn.COVARIANCE.S(PriceData!$I$3:$I$262,PriceData!H$3:H$262)</f>
        <v>5.8486210861379805E-3</v>
      </c>
      <c r="Y12" s="49">
        <f>_xlfn.COVARIANCE.S(PriceData!$I$3:$I$262,PriceData!I$3:I$262)</f>
        <v>6.3017503407905521E-3</v>
      </c>
      <c r="Z12" s="49">
        <f>_xlfn.COVARIANCE.S(PriceData!$I$3:$I$262,PriceData!J$3:J$262)</f>
        <v>2.1961150230211182E-3</v>
      </c>
      <c r="AA12" s="49">
        <f>_xlfn.COVARIANCE.S(PriceData!$I$3:$I$262,PriceData!K$3:K$262)</f>
        <v>5.7044544725673449E-3</v>
      </c>
    </row>
    <row r="13" spans="1:27" x14ac:dyDescent="0.2">
      <c r="A13" s="6" t="s">
        <v>23</v>
      </c>
      <c r="B13" s="7">
        <v>6.3E-2</v>
      </c>
      <c r="C13" s="1"/>
      <c r="D13" s="8">
        <v>0.01</v>
      </c>
      <c r="E13" s="8">
        <v>0.25</v>
      </c>
      <c r="F13" s="9"/>
      <c r="G13" s="7">
        <v>2.191689500106456E-3</v>
      </c>
      <c r="H13" s="7">
        <v>3.4401104916202472E-3</v>
      </c>
      <c r="I13" s="7">
        <v>1.782547098866711E-3</v>
      </c>
      <c r="J13" s="7">
        <v>2.1668925660407799E-3</v>
      </c>
      <c r="K13" s="7">
        <v>2.0984351835694388E-3</v>
      </c>
      <c r="L13" s="7">
        <v>4.415491217004807E-4</v>
      </c>
      <c r="M13" s="7">
        <v>3.2482142519896871E-3</v>
      </c>
      <c r="N13" s="7">
        <v>2.1725844010538698E-3</v>
      </c>
      <c r="O13" s="7">
        <v>2.0706453504405033E-3</v>
      </c>
      <c r="P13" s="7">
        <v>2.1213137679125344E-3</v>
      </c>
      <c r="R13" s="49">
        <f>_xlfn.COVARIANCE.S(PriceData!$J$3:$J$262,PriceData!B$3:B$262)</f>
        <v>2.9141947494887555E-3</v>
      </c>
      <c r="S13" s="49">
        <f>_xlfn.COVARIANCE.S(PriceData!$J$3:$J$262,PriceData!C$3:C$262)</f>
        <v>4.1909837259717485E-3</v>
      </c>
      <c r="T13" s="49">
        <f>_xlfn.COVARIANCE.S(PriceData!$J$3:$J$262,PriceData!D$3:D$262)</f>
        <v>2.4940816136183488E-3</v>
      </c>
      <c r="U13" s="49">
        <f>_xlfn.COVARIANCE.S(PriceData!$J$3:$J$262,PriceData!E$3:E$262)</f>
        <v>2.8891769183132065E-3</v>
      </c>
      <c r="V13" s="49">
        <f>_xlfn.COVARIANCE.S(PriceData!$J$3:$J$262,PriceData!F$3:F$262)</f>
        <v>2.8358561939129294E-3</v>
      </c>
      <c r="W13" s="49">
        <f>_xlfn.COVARIANCE.S(PriceData!$J$3:$J$262,PriceData!G$3:G$262)</f>
        <v>5.833458292424156E-4</v>
      </c>
      <c r="X13" s="49">
        <f>_xlfn.COVARIANCE.S(PriceData!$J$3:$J$262,PriceData!H$3:H$262)</f>
        <v>3.7553711392664885E-3</v>
      </c>
      <c r="Y13" s="49">
        <f>_xlfn.COVARIANCE.S(PriceData!$J$3:$J$262,PriceData!I$3:I$262)</f>
        <v>2.1961150230211182E-3</v>
      </c>
      <c r="Z13" s="49">
        <f>_xlfn.COVARIANCE.S(PriceData!$J$3:$J$262,PriceData!J$3:J$262)</f>
        <v>2.0706453504405033E-3</v>
      </c>
      <c r="AA13" s="49">
        <f>_xlfn.COVARIANCE.S(PriceData!$J$3:$J$262,PriceData!K$3:K$262)</f>
        <v>2.1366579651857357E-3</v>
      </c>
    </row>
    <row r="14" spans="1:27" x14ac:dyDescent="0.2">
      <c r="A14" s="6" t="s">
        <v>24</v>
      </c>
      <c r="B14" s="7">
        <v>0.14299999999999999</v>
      </c>
      <c r="C14" s="1"/>
      <c r="D14" s="8">
        <v>0.01</v>
      </c>
      <c r="E14" s="8">
        <v>0.75</v>
      </c>
      <c r="F14" s="9"/>
      <c r="G14" s="7">
        <v>3.1680119071684039E-3</v>
      </c>
      <c r="H14" s="7">
        <v>5.226879279866945E-3</v>
      </c>
      <c r="I14" s="7">
        <v>1.1275989139239574E-3</v>
      </c>
      <c r="J14" s="7">
        <v>2.6719368045720784E-3</v>
      </c>
      <c r="K14" s="7">
        <v>2.6594034888329462E-3</v>
      </c>
      <c r="L14" s="7">
        <v>1.1231229807605954E-4</v>
      </c>
      <c r="M14" s="7">
        <v>5.2006443634937897E-3</v>
      </c>
      <c r="N14" s="7">
        <v>5.6932037341784272E-3</v>
      </c>
      <c r="O14" s="7">
        <v>2.1213137679125344E-3</v>
      </c>
      <c r="P14" s="7">
        <v>5.2360018864175649E-3</v>
      </c>
      <c r="R14" s="49">
        <f>_xlfn.COVARIANCE.S(PriceData!$K$3:$K$262,PriceData!B$3:B$262)</f>
        <v>3.4522428908654807E-3</v>
      </c>
      <c r="S14" s="49">
        <f>_xlfn.COVARIANCE.S(PriceData!$K$3:$K$262,PriceData!C$3:C$262)</f>
        <v>5.605162139646569E-3</v>
      </c>
      <c r="T14" s="49">
        <f>_xlfn.COVARIANCE.S(PriceData!$K$3:$K$262,PriceData!D$3:D$262)</f>
        <v>1.2143276838680278E-3</v>
      </c>
      <c r="U14" s="49">
        <f>_xlfn.COVARIANCE.S(PriceData!$K$3:$K$262,PriceData!E$3:E$262)</f>
        <v>3.035579049137275E-3</v>
      </c>
      <c r="V14" s="49">
        <f>_xlfn.COVARIANCE.S(PriceData!$K$3:$K$262,PriceData!F$3:F$262)</f>
        <v>3.0397900292082267E-3</v>
      </c>
      <c r="W14" s="49">
        <f>_xlfn.COVARIANCE.S(PriceData!$K$3:$K$262,PriceData!G$3:G$262)</f>
        <v>2.2005238314389832E-4</v>
      </c>
      <c r="X14" s="49">
        <f>_xlfn.COVARIANCE.S(PriceData!$K$3:$K$262,PriceData!H$3:H$262)</f>
        <v>5.453963997394444E-3</v>
      </c>
      <c r="Y14" s="49">
        <f>_xlfn.COVARIANCE.S(PriceData!$K$3:$K$262,PriceData!I$3:I$262)</f>
        <v>5.7044544725673449E-3</v>
      </c>
      <c r="Z14" s="49">
        <f>_xlfn.COVARIANCE.S(PriceData!$K$3:$K$262,PriceData!J$3:J$262)</f>
        <v>2.1366579651857357E-3</v>
      </c>
      <c r="AA14" s="49">
        <f>_xlfn.COVARIANCE.S(PriceData!$K$3:$K$262,PriceData!K$3:K$262)</f>
        <v>5.2360018864175649E-3</v>
      </c>
    </row>
    <row r="15" spans="1:27" x14ac:dyDescent="0.2">
      <c r="A15" s="10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</row>
    <row r="16" spans="1:27" x14ac:dyDescent="0.2">
      <c r="A16" s="10"/>
      <c r="B16" s="4" t="s">
        <v>4</v>
      </c>
      <c r="C16" s="4" t="s">
        <v>34</v>
      </c>
      <c r="D16" s="10" t="s">
        <v>35</v>
      </c>
      <c r="E16" s="10" t="s">
        <v>36</v>
      </c>
      <c r="F16" s="10" t="s">
        <v>37</v>
      </c>
      <c r="G16" s="9"/>
      <c r="H16" s="9"/>
      <c r="I16" s="9"/>
      <c r="J16" s="9"/>
      <c r="K16" s="9"/>
      <c r="L16" s="9"/>
      <c r="M16" s="9"/>
      <c r="N16" s="9"/>
      <c r="O16" s="9"/>
      <c r="P16" s="9"/>
      <c r="R16" s="35"/>
      <c r="S16" s="35"/>
      <c r="T16" s="35"/>
    </row>
    <row r="17" spans="1:20" x14ac:dyDescent="0.2">
      <c r="A17" s="5" t="s">
        <v>5</v>
      </c>
      <c r="B17" s="5"/>
      <c r="C17" s="5"/>
      <c r="D17" s="5"/>
      <c r="E17" s="5"/>
      <c r="F17" s="5"/>
      <c r="G17" s="9"/>
      <c r="H17" s="9"/>
      <c r="I17" s="9"/>
      <c r="J17" s="9"/>
      <c r="K17" s="9"/>
      <c r="L17" s="9"/>
      <c r="M17" s="9"/>
      <c r="N17" s="9"/>
      <c r="O17" s="9"/>
      <c r="P17" s="9"/>
      <c r="R17" s="35"/>
      <c r="S17" s="35"/>
      <c r="T17" s="35"/>
    </row>
    <row r="18" spans="1:20" x14ac:dyDescent="0.2">
      <c r="A18" s="6" t="s">
        <v>15</v>
      </c>
      <c r="B18">
        <v>1</v>
      </c>
      <c r="C18">
        <v>1</v>
      </c>
      <c r="D18">
        <v>0</v>
      </c>
      <c r="E18">
        <v>1</v>
      </c>
      <c r="F18">
        <v>0</v>
      </c>
      <c r="G18" s="12"/>
      <c r="H18" s="12"/>
      <c r="I18" s="12"/>
      <c r="J18" s="12"/>
      <c r="K18" s="12"/>
      <c r="L18" s="12"/>
      <c r="M18" s="9"/>
      <c r="N18" s="9"/>
      <c r="O18" s="9"/>
      <c r="P18" s="9"/>
    </row>
    <row r="19" spans="1:20" x14ac:dyDescent="0.2">
      <c r="A19" s="6" t="s">
        <v>16</v>
      </c>
      <c r="B19">
        <v>1</v>
      </c>
      <c r="C19">
        <v>0</v>
      </c>
      <c r="D19">
        <v>0</v>
      </c>
      <c r="E19">
        <v>0</v>
      </c>
      <c r="F19">
        <v>0</v>
      </c>
      <c r="G19" s="12"/>
      <c r="H19" s="12"/>
      <c r="I19" s="12"/>
      <c r="J19" s="12"/>
      <c r="K19" s="12"/>
      <c r="L19" s="12"/>
      <c r="M19" s="9"/>
      <c r="N19" s="9"/>
      <c r="O19" s="9"/>
      <c r="P19" s="9"/>
    </row>
    <row r="20" spans="1:20" x14ac:dyDescent="0.2">
      <c r="A20" s="6" t="s">
        <v>17</v>
      </c>
      <c r="B20">
        <v>1</v>
      </c>
      <c r="C20">
        <v>0</v>
      </c>
      <c r="D20">
        <v>0</v>
      </c>
      <c r="E20">
        <v>1</v>
      </c>
      <c r="F20">
        <v>0</v>
      </c>
      <c r="G20" s="12"/>
      <c r="H20" s="12"/>
      <c r="I20" s="12"/>
      <c r="J20" s="12"/>
      <c r="K20" s="12"/>
      <c r="L20" s="12"/>
      <c r="M20" s="9"/>
      <c r="N20" s="9"/>
      <c r="O20" s="9"/>
      <c r="P20" s="9"/>
    </row>
    <row r="21" spans="1:20" x14ac:dyDescent="0.2">
      <c r="A21" s="6" t="s">
        <v>18</v>
      </c>
      <c r="B21">
        <v>1</v>
      </c>
      <c r="C21">
        <v>0</v>
      </c>
      <c r="D21">
        <v>0</v>
      </c>
      <c r="E21">
        <v>0</v>
      </c>
      <c r="F21">
        <v>0</v>
      </c>
      <c r="G21" s="12"/>
      <c r="H21" s="12"/>
      <c r="I21" s="12"/>
      <c r="J21" s="12"/>
      <c r="K21" s="12"/>
      <c r="L21" s="12"/>
      <c r="M21" s="9"/>
      <c r="N21" s="9"/>
      <c r="O21" s="9"/>
      <c r="P21" s="9"/>
    </row>
    <row r="22" spans="1:20" x14ac:dyDescent="0.2">
      <c r="A22" s="6" t="s">
        <v>19</v>
      </c>
      <c r="B22">
        <v>1</v>
      </c>
      <c r="C22">
        <v>0</v>
      </c>
      <c r="D22">
        <v>1</v>
      </c>
      <c r="E22">
        <v>0</v>
      </c>
      <c r="F22">
        <v>0</v>
      </c>
      <c r="G22" s="9"/>
      <c r="H22" s="9"/>
      <c r="I22" s="9"/>
      <c r="J22" s="9"/>
      <c r="K22" s="9"/>
      <c r="L22" s="9"/>
      <c r="M22" s="9"/>
      <c r="N22" s="9"/>
      <c r="O22" s="9"/>
      <c r="P22" s="9"/>
    </row>
    <row r="23" spans="1:20" x14ac:dyDescent="0.2">
      <c r="A23" s="6" t="s">
        <v>20</v>
      </c>
      <c r="B23">
        <v>1</v>
      </c>
      <c r="C23">
        <v>1</v>
      </c>
      <c r="D23">
        <v>0</v>
      </c>
      <c r="E23">
        <v>1</v>
      </c>
      <c r="F23">
        <v>1</v>
      </c>
      <c r="G23" s="9"/>
      <c r="H23" s="9"/>
      <c r="I23" s="9"/>
      <c r="J23" s="9"/>
      <c r="K23" s="9"/>
      <c r="L23" s="9"/>
      <c r="M23" s="9"/>
      <c r="N23" s="9"/>
      <c r="O23" s="9"/>
      <c r="P23" s="9"/>
    </row>
    <row r="24" spans="1:20" x14ac:dyDescent="0.2">
      <c r="A24" s="6" t="s">
        <v>21</v>
      </c>
      <c r="B24">
        <v>1</v>
      </c>
      <c r="C24">
        <v>0</v>
      </c>
      <c r="D24">
        <v>0</v>
      </c>
      <c r="E24">
        <v>0</v>
      </c>
      <c r="F24">
        <v>1</v>
      </c>
      <c r="G24" s="9"/>
      <c r="H24" s="9"/>
      <c r="I24" s="9"/>
      <c r="J24" s="9"/>
      <c r="K24" s="9"/>
      <c r="L24" s="9"/>
      <c r="M24" s="9"/>
      <c r="N24" s="9"/>
      <c r="O24" s="9"/>
      <c r="P24" s="9"/>
    </row>
    <row r="25" spans="1:20" x14ac:dyDescent="0.2">
      <c r="A25" s="6" t="s">
        <v>22</v>
      </c>
      <c r="B25">
        <v>1</v>
      </c>
      <c r="C25">
        <v>0</v>
      </c>
      <c r="D25">
        <v>0</v>
      </c>
      <c r="E25">
        <v>0</v>
      </c>
      <c r="F25">
        <v>1</v>
      </c>
      <c r="G25" s="9"/>
      <c r="H25" s="9"/>
      <c r="I25" s="9"/>
      <c r="J25" s="9"/>
      <c r="K25" s="9"/>
      <c r="L25" s="9"/>
      <c r="M25" s="9"/>
      <c r="N25" s="9"/>
      <c r="O25" s="9"/>
      <c r="P25" s="9"/>
    </row>
    <row r="26" spans="1:20" x14ac:dyDescent="0.2">
      <c r="A26" s="6" t="s">
        <v>23</v>
      </c>
      <c r="B26">
        <v>1</v>
      </c>
      <c r="C26">
        <v>0</v>
      </c>
      <c r="D26">
        <v>0</v>
      </c>
      <c r="E26">
        <v>1</v>
      </c>
      <c r="F26">
        <v>1</v>
      </c>
      <c r="G26" s="9"/>
      <c r="H26" s="9"/>
      <c r="I26" s="9"/>
      <c r="J26" s="9"/>
      <c r="K26" s="9"/>
      <c r="L26" s="9"/>
      <c r="M26" s="9"/>
      <c r="N26" s="9"/>
      <c r="O26" s="9"/>
      <c r="P26" s="9"/>
    </row>
    <row r="27" spans="1:20" x14ac:dyDescent="0.2">
      <c r="A27" s="6" t="s">
        <v>24</v>
      </c>
      <c r="B27">
        <v>1</v>
      </c>
      <c r="C27">
        <v>0</v>
      </c>
      <c r="D27">
        <v>0</v>
      </c>
      <c r="E27">
        <v>0</v>
      </c>
      <c r="F27">
        <v>1</v>
      </c>
      <c r="G27" s="9"/>
      <c r="H27" s="9"/>
      <c r="I27" s="9"/>
      <c r="J27" s="9"/>
      <c r="K27" s="9"/>
      <c r="L27" s="9"/>
      <c r="M27" s="9"/>
      <c r="N27" s="9"/>
      <c r="O27" s="9"/>
      <c r="P27" s="9"/>
    </row>
    <row r="28" spans="1:20" x14ac:dyDescent="0.2">
      <c r="A28" s="11"/>
      <c r="B28" s="12"/>
      <c r="C28" s="12"/>
      <c r="D28" s="12"/>
      <c r="E28" s="12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</row>
    <row r="29" spans="1:20" x14ac:dyDescent="0.2">
      <c r="A29" s="10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</row>
    <row r="30" spans="1:20" x14ac:dyDescent="0.2">
      <c r="A30" s="5" t="s">
        <v>6</v>
      </c>
      <c r="B30" s="5"/>
      <c r="C30" s="5"/>
      <c r="D30" s="5"/>
      <c r="E30" s="5"/>
      <c r="F30" s="5"/>
      <c r="G30" s="9"/>
      <c r="H30" s="9"/>
      <c r="I30" s="9"/>
      <c r="J30" s="9"/>
      <c r="K30" s="9"/>
      <c r="L30" s="9"/>
      <c r="M30" s="9"/>
      <c r="N30" s="9"/>
      <c r="O30" s="9"/>
      <c r="P30" s="9"/>
    </row>
    <row r="31" spans="1:20" x14ac:dyDescent="0.2">
      <c r="A31" s="10" t="s">
        <v>7</v>
      </c>
      <c r="B31">
        <v>1</v>
      </c>
      <c r="C31" s="13">
        <v>0.01</v>
      </c>
      <c r="D31" s="13">
        <v>0.01</v>
      </c>
      <c r="E31" s="13">
        <v>0.01</v>
      </c>
      <c r="F31" s="13">
        <v>0.01</v>
      </c>
      <c r="G31" s="9"/>
      <c r="H31" s="9"/>
      <c r="I31" s="9"/>
      <c r="J31" s="9"/>
      <c r="K31" s="9"/>
      <c r="L31" s="9"/>
      <c r="M31" s="9"/>
      <c r="N31" s="9"/>
      <c r="O31" s="9"/>
      <c r="P31" s="9"/>
    </row>
    <row r="32" spans="1:20" x14ac:dyDescent="0.2">
      <c r="A32" s="10" t="s">
        <v>8</v>
      </c>
      <c r="B32">
        <v>1</v>
      </c>
      <c r="C32" s="14">
        <v>0.75</v>
      </c>
      <c r="D32" s="14">
        <v>0.1</v>
      </c>
      <c r="E32" s="14">
        <v>0.9</v>
      </c>
      <c r="F32" s="14">
        <v>0.4</v>
      </c>
      <c r="G32" s="9"/>
      <c r="H32" s="9"/>
      <c r="I32" s="9"/>
      <c r="J32" s="9"/>
      <c r="K32" s="9"/>
      <c r="L32" s="9"/>
      <c r="M32" s="9"/>
      <c r="N32" s="9"/>
      <c r="O32" s="9"/>
      <c r="P32" s="27" t="s">
        <v>26</v>
      </c>
    </row>
    <row r="33" spans="1:30" x14ac:dyDescent="0.2">
      <c r="A33" s="10"/>
      <c r="C33" s="14"/>
      <c r="D33" s="14"/>
      <c r="E33" s="14"/>
      <c r="F33" s="14"/>
      <c r="G33" s="9"/>
      <c r="H33" s="9"/>
      <c r="I33" s="9"/>
      <c r="J33" s="9"/>
      <c r="K33" s="9"/>
      <c r="L33" s="9"/>
      <c r="M33" s="9"/>
      <c r="N33" s="9"/>
      <c r="O33" s="9"/>
      <c r="P33" s="27"/>
    </row>
    <row r="34" spans="1:30" x14ac:dyDescent="0.2">
      <c r="E34" t="s">
        <v>14</v>
      </c>
      <c r="P34" s="28" t="s">
        <v>28</v>
      </c>
      <c r="Q34" s="28" t="s">
        <v>29</v>
      </c>
      <c r="R34" s="28" t="s">
        <v>30</v>
      </c>
      <c r="S34" s="28" t="s">
        <v>32</v>
      </c>
    </row>
    <row r="35" spans="1:30" ht="13.5" thickBot="1" x14ac:dyDescent="0.25">
      <c r="B35" t="s">
        <v>12</v>
      </c>
      <c r="C35" t="s">
        <v>13</v>
      </c>
      <c r="E35" t="s">
        <v>15</v>
      </c>
      <c r="F35" t="s">
        <v>16</v>
      </c>
      <c r="G35" t="s">
        <v>17</v>
      </c>
      <c r="H35" t="s">
        <v>18</v>
      </c>
      <c r="I35" t="s">
        <v>19</v>
      </c>
      <c r="J35" t="s">
        <v>20</v>
      </c>
      <c r="K35" t="s">
        <v>21</v>
      </c>
      <c r="L35" t="s">
        <v>22</v>
      </c>
      <c r="M35" t="s">
        <v>23</v>
      </c>
      <c r="N35" t="s">
        <v>24</v>
      </c>
      <c r="P35" s="28" t="s">
        <v>27</v>
      </c>
      <c r="Q35" s="28" t="s">
        <v>27</v>
      </c>
      <c r="R35" s="28" t="s">
        <v>31</v>
      </c>
      <c r="S35" s="28" t="s">
        <v>31</v>
      </c>
      <c r="T35" s="28" t="s">
        <v>33</v>
      </c>
    </row>
    <row r="36" spans="1:30" ht="13.5" thickBot="1" x14ac:dyDescent="0.25">
      <c r="A36" t="s">
        <v>10</v>
      </c>
      <c r="B36" s="15">
        <f t="array" ref="B36:C36">EfficientFrontier3($G$5:$P$14,$B$5:$B$14,$D$5:$D$14,$E$5:$E$14,$C$18:$F$27,$C$31:$F$31,$C$32:$F$32,"MAX_RETURN")</f>
        <v>8.1763887864079177E-2</v>
      </c>
      <c r="C36" s="16">
        <v>0.12497000000000003</v>
      </c>
      <c r="E36" s="15"/>
      <c r="F36" s="17"/>
      <c r="G36" s="17"/>
      <c r="H36" s="17"/>
      <c r="I36" s="17"/>
      <c r="J36" s="17"/>
      <c r="K36" s="17"/>
      <c r="L36" s="17"/>
      <c r="M36" s="17"/>
      <c r="N36" s="16"/>
      <c r="P36" s="27" t="e">
        <f t="array" ref="P36">SQRT(MMULT($E36:$N36,MMULT($G$5:$P$14,TRANSPOSE($E36:$N36))))-B36</f>
        <v>#VALUE!</v>
      </c>
      <c r="Q36" s="27" t="e">
        <f>MMULT($E36:$N36,$B$5:$B$14)-C36</f>
        <v>#VALUE!</v>
      </c>
      <c r="R36" s="27">
        <f t="array" ref="R36">SUM(IF($E36:$N36&lt;TRANSPOSE($D$5:$D$14),1,"-"))+SUM(IF($E36:$N36&gt;TRANSPOSE($E$5:$E$14),1,"-"))</f>
        <v>10</v>
      </c>
      <c r="S36" s="27" t="e">
        <f t="array" ref="S36">SUM(IF(MMULT($E36:$N36,$C$18:$F$27)&lt;$C$31:$F$31,1,"-"))+SUM(IF(MMULT($E36:$N36,$C$18:$F$27)&gt;$C$32:$F$32,1,"-"))</f>
        <v>#VALUE!</v>
      </c>
      <c r="T36" s="27">
        <f>SUM(E36:N36)</f>
        <v>0</v>
      </c>
      <c r="V36" s="15">
        <v>8.1439021056559535E-2</v>
      </c>
      <c r="W36" s="16">
        <v>0.12859999999999999</v>
      </c>
    </row>
    <row r="37" spans="1:30" ht="13.5" thickBot="1" x14ac:dyDescent="0.25">
      <c r="B37" s="17"/>
      <c r="C37" s="17"/>
      <c r="D37" s="30"/>
      <c r="E37" s="17"/>
      <c r="F37" s="17"/>
      <c r="G37" s="17"/>
      <c r="H37" s="17"/>
      <c r="I37" s="17"/>
      <c r="J37" s="17"/>
      <c r="K37" s="17"/>
      <c r="L37" s="17"/>
      <c r="M37" s="17"/>
      <c r="N37" s="17"/>
      <c r="P37" s="27"/>
      <c r="Q37" s="27"/>
      <c r="R37" s="27"/>
      <c r="S37" s="27"/>
      <c r="T37" s="27"/>
      <c r="V37" s="17"/>
      <c r="W37" s="17"/>
    </row>
    <row r="38" spans="1:30" ht="13.5" thickBot="1" x14ac:dyDescent="0.25">
      <c r="A38" t="s">
        <v>9</v>
      </c>
      <c r="B38" s="15">
        <f t="array" ref="B38:C38">EfficientFrontier3($G$5:$P$14,$B$5:$B$14,$D$5:$D$14,$E$5:$E$14,$C$18:$F$27,$C$31:$F$31,$C$32:$F$32,"MIN_RISK")</f>
        <v>7.4983349424587439E-2</v>
      </c>
      <c r="C38" s="16">
        <v>9.1578174296238005E-2</v>
      </c>
      <c r="E38" s="15"/>
      <c r="F38" s="17"/>
      <c r="G38" s="17"/>
      <c r="H38" s="17"/>
      <c r="I38" s="17"/>
      <c r="J38" s="17"/>
      <c r="K38" s="17"/>
      <c r="L38" s="17"/>
      <c r="M38" s="17"/>
      <c r="N38" s="16"/>
      <c r="P38" s="27" t="e">
        <f t="array" ref="P38">SQRT(MMULT($E38:$N38,MMULT($G$5:$P$14,TRANSPOSE($E38:$N38))))-B38</f>
        <v>#VALUE!</v>
      </c>
      <c r="Q38" s="27" t="e">
        <f t="shared" ref="Q38:Q105" si="0">MMULT($E38:$N38,$B$5:$B$14)-C38</f>
        <v>#VALUE!</v>
      </c>
      <c r="R38" s="27">
        <f t="array" ref="R38">SUM(IF($E38:$N38&lt;TRANSPOSE($D$5:$D$14),1,"-"))+SUM(IF($E38:$N38&gt;TRANSPOSE($E$5:$E$14),1,"-"))</f>
        <v>10</v>
      </c>
      <c r="S38" s="27" t="e">
        <f t="array" ref="S38">SUM(IF(MMULT($E38:$N38,$C$18:$F$27)&lt;$C$31:$F$31,1,"-"))+SUM(IF(MMULT($E38:$N38,$C$18:$F$27)&gt;$C$32:$F$32,1,"-"))</f>
        <v>#VALUE!</v>
      </c>
      <c r="T38" s="27">
        <f t="shared" ref="T38:T105" si="1">SUM(E38:N38)</f>
        <v>0</v>
      </c>
      <c r="V38" s="15">
        <v>7.408059282956829E-2</v>
      </c>
      <c r="W38" s="16">
        <v>9.0142331339586365E-2</v>
      </c>
      <c r="Z38" s="57"/>
    </row>
    <row r="39" spans="1:30" ht="13.5" thickBot="1" x14ac:dyDescent="0.25">
      <c r="B39" s="26"/>
      <c r="C39" s="25"/>
      <c r="D39" s="30"/>
      <c r="E39" s="26"/>
      <c r="F39" s="26"/>
      <c r="G39" s="26"/>
      <c r="H39" s="26"/>
      <c r="I39" s="26"/>
      <c r="J39" s="26"/>
      <c r="K39" s="26"/>
      <c r="L39" s="26"/>
      <c r="M39" s="26"/>
      <c r="N39" s="26"/>
      <c r="P39" s="27"/>
      <c r="Q39" s="27"/>
      <c r="R39" s="27"/>
      <c r="S39" s="27"/>
      <c r="T39" s="27"/>
      <c r="V39" s="26"/>
      <c r="W39" s="25"/>
      <c r="Z39" s="57"/>
    </row>
    <row r="40" spans="1:30" ht="13.5" thickBot="1" x14ac:dyDescent="0.25">
      <c r="A40" t="s">
        <v>25</v>
      </c>
      <c r="B40" s="29">
        <f>EfficientFrontier3($G$5:$P$14,$B$5:$B$14,$D$5:$D$14,$E$5:$E$14,$C$18:$F$27,$C$31:$F$31,$C$32:$F$32,"TGT_RETURN",,,$C$40)</f>
        <v>7.7669054747748975E-2</v>
      </c>
      <c r="C40" s="32">
        <v>0.12</v>
      </c>
      <c r="E40" s="15"/>
      <c r="F40" s="17"/>
      <c r="G40" s="17"/>
      <c r="H40" s="17"/>
      <c r="I40" s="17"/>
      <c r="J40" s="17"/>
      <c r="K40" s="17"/>
      <c r="L40" s="17"/>
      <c r="M40" s="17"/>
      <c r="N40" s="16"/>
      <c r="P40" s="27" t="e">
        <f t="array" ref="P40">SQRT(MMULT($E40:$N40,MMULT($G$5:$P$14,TRANSPOSE($E40:$N40))))-B40</f>
        <v>#VALUE!</v>
      </c>
      <c r="Q40" s="27" t="e">
        <f t="shared" si="0"/>
        <v>#VALUE!</v>
      </c>
      <c r="R40" s="27">
        <f t="array" ref="R40">SUM(IF($E40:$N40&lt;TRANSPOSE($D$5:$D$14),1,"-"))+SUM(IF($E40:$N40&gt;TRANSPOSE($E$5:$E$14),1,"-"))</f>
        <v>10</v>
      </c>
      <c r="S40" s="27" t="e">
        <f t="array" ref="S40">SUM(IF(MMULT($E40:$N40,$C$18:$F$27)&lt;$C$31:$F$31,1,"-"))+SUM(IF(MMULT($E40:$N40,$C$18:$F$27)&gt;$C$32:$F$32,1,"-"))</f>
        <v>#VALUE!</v>
      </c>
      <c r="T40" s="27">
        <f t="shared" si="1"/>
        <v>0</v>
      </c>
      <c r="V40" s="29">
        <v>7.6499566922937204E-2</v>
      </c>
      <c r="W40" s="32">
        <v>0.12</v>
      </c>
    </row>
    <row r="41" spans="1:30" ht="13.5" thickBot="1" x14ac:dyDescent="0.25">
      <c r="B41" s="24"/>
      <c r="C41" s="31"/>
      <c r="E41" s="24"/>
      <c r="F41" s="24"/>
      <c r="G41" s="24"/>
      <c r="H41" s="24"/>
      <c r="I41" s="24"/>
      <c r="J41" s="24"/>
      <c r="K41" s="24"/>
      <c r="L41" s="24"/>
      <c r="M41" s="24"/>
      <c r="N41" s="24"/>
      <c r="P41" s="27"/>
      <c r="Q41" s="27"/>
      <c r="R41" s="27"/>
      <c r="S41" s="27"/>
      <c r="T41" s="27"/>
      <c r="V41" s="24"/>
      <c r="W41" s="31"/>
      <c r="Z41" s="57"/>
      <c r="AB41">
        <v>1</v>
      </c>
      <c r="AC41">
        <v>0.109067013391423</v>
      </c>
      <c r="AD41">
        <v>0.15830225000000001</v>
      </c>
    </row>
    <row r="42" spans="1:30" ht="13.5" thickBot="1" x14ac:dyDescent="0.25">
      <c r="A42" t="s">
        <v>40</v>
      </c>
      <c r="B42" s="29"/>
      <c r="C42" s="32">
        <v>0.12</v>
      </c>
      <c r="E42" s="15"/>
      <c r="F42" s="17"/>
      <c r="G42" s="17"/>
      <c r="H42" s="17"/>
      <c r="I42" s="17"/>
      <c r="J42" s="17"/>
      <c r="K42" s="17"/>
      <c r="L42" s="17"/>
      <c r="M42" s="17"/>
      <c r="N42" s="16"/>
      <c r="P42" s="27" t="e">
        <f t="array" ref="P42">SQRT(MMULT($E42:$N42,MMULT($R$5:$AA$14,TRANSPOSE($E42:$N42))))-B42</f>
        <v>#VALUE!</v>
      </c>
      <c r="Q42" s="27" t="e">
        <f t="shared" ref="Q42" si="2">MMULT($E42:$N42,$B$5:$B$14)-C42</f>
        <v>#VALUE!</v>
      </c>
      <c r="R42" s="27">
        <f t="array" ref="R42">SUM(IF($E42:$N42&lt;TRANSPOSE($D$5:$D$14),1,"-"))+SUM(IF($E42:$N42&gt;TRANSPOSE($E$5:$E$14),1,"-"))</f>
        <v>10</v>
      </c>
      <c r="S42" s="27" t="e">
        <f t="array" ref="S42">SUM(IF(MMULT($E42:$N42,$C$18:$F$27)&lt;$C$31:$F$31,1,"-"))+SUM(IF(MMULT($E42:$N42,$C$18:$F$27)&gt;$C$32:$F$32,1,"-"))</f>
        <v>#VALUE!</v>
      </c>
      <c r="T42" s="27">
        <f t="shared" ref="T42" si="3">SUM(E42:N42)</f>
        <v>0</v>
      </c>
      <c r="V42" s="29">
        <v>7.8289480493955635E-2</v>
      </c>
      <c r="W42" s="32">
        <v>0.12</v>
      </c>
      <c r="Z42" s="57"/>
      <c r="AB42">
        <v>2</v>
      </c>
      <c r="AC42" s="57">
        <v>9.7174545629911097E-2</v>
      </c>
      <c r="AD42">
        <v>0.13934263625000001</v>
      </c>
    </row>
    <row r="43" spans="1:30" ht="13.5" thickBot="1" x14ac:dyDescent="0.25">
      <c r="B43" s="24"/>
      <c r="C43" s="31"/>
      <c r="D43" s="30"/>
      <c r="E43" s="24"/>
      <c r="F43" s="24"/>
      <c r="G43" s="24"/>
      <c r="H43" s="24"/>
      <c r="I43" s="24"/>
      <c r="J43" s="24"/>
      <c r="K43" s="24"/>
      <c r="L43" s="24"/>
      <c r="M43" s="24"/>
      <c r="N43" s="24"/>
      <c r="P43" s="27"/>
      <c r="Q43" s="27"/>
      <c r="R43" s="27"/>
      <c r="S43" s="27"/>
      <c r="T43" s="27"/>
      <c r="V43" s="24"/>
      <c r="W43" s="31"/>
      <c r="AB43">
        <v>3</v>
      </c>
      <c r="AC43" s="57">
        <v>9.6070730667722398E-2</v>
      </c>
      <c r="AD43">
        <v>0.136948985014062</v>
      </c>
    </row>
    <row r="44" spans="1:30" x14ac:dyDescent="0.2">
      <c r="A44" t="s">
        <v>11</v>
      </c>
      <c r="B44" s="58">
        <f t="array" ref="B44:C144">EfficientFrontier3($G$5:$P$14,$B$5:$B$14,$D$5:$D$14,$E$5:$E$14,$C$18:$F$27,$C$31:$F$31,$C$32:$F$32,"CURVE")</f>
        <v>7.4983346370245424E-2</v>
      </c>
      <c r="C44" s="59">
        <v>9.1578174296238019E-2</v>
      </c>
      <c r="D44">
        <v>1</v>
      </c>
      <c r="E44" s="58">
        <f t="array" ref="E44:N144">EfficientFrontier3($G$5:$P$14,$B$5:$B$14,$D$5:$D$14,$E$5:$E$14,$C$18:$F$27,$C$31:$F$31,$C$32:$F$32,"CURVE",TRUE)</f>
        <v>0.20797019867378669</v>
      </c>
      <c r="F44" s="59">
        <v>1.0000280432937431E-2</v>
      </c>
      <c r="G44" s="24">
        <v>1.0000139465916172E-2</v>
      </c>
      <c r="H44" s="24">
        <v>0.27204544690344595</v>
      </c>
      <c r="I44" s="24">
        <v>9.9983984855236116E-2</v>
      </c>
      <c r="J44" s="24">
        <v>0.16674895538921011</v>
      </c>
      <c r="K44" s="24">
        <v>1.0000066149063335E-2</v>
      </c>
      <c r="L44" s="24">
        <v>1.0000365162343136E-2</v>
      </c>
      <c r="M44" s="24">
        <v>0.20325032526465067</v>
      </c>
      <c r="N44" s="19">
        <v>1.0000237703410341E-2</v>
      </c>
      <c r="P44" s="27">
        <f t="array" ref="P44">SQRT(MMULT($E44:$N44,MMULT($G$5:$P$14,TRANSPOSE($E44:$N44))))-B44</f>
        <v>0</v>
      </c>
      <c r="Q44" s="27">
        <f t="shared" si="0"/>
        <v>0</v>
      </c>
      <c r="R44" s="27">
        <f t="array" ref="R44">SUM(IF($E44:$N44&lt;TRANSPOSE($D$5:$D$14),1,"-"))+SUM(IF($E44:$N44&gt;TRANSPOSE($E$5:$E$14),1,"-"))</f>
        <v>0</v>
      </c>
      <c r="S44" s="27">
        <f t="array" ref="S44">SUM(IF(MMULT($E44:$N44,$C$18:$F$27)&lt;$C$31:$F$31,1,"-"))+SUM(IF(MMULT($E44:$N44,$C$18:$F$27)&gt;$C$32:$F$32,1,"-"))</f>
        <v>0</v>
      </c>
      <c r="T44" s="27">
        <f t="shared" si="1"/>
        <v>0.99999999999999989</v>
      </c>
      <c r="V44" s="18">
        <v>7.4080592829569442E-2</v>
      </c>
      <c r="W44" s="19">
        <v>9.0142331339586379E-2</v>
      </c>
      <c r="X44">
        <f>EfficientFrontier3($G$5:$P$14,$B$5:$B$14,$D$5:$D$14,$E$5:$E$14,$C$18:$F$27,$C$31:$F$31,$C$32:$F$32,"TGT_RETURN",,,W44)</f>
        <v>7.4987822780644128E-2</v>
      </c>
      <c r="Z44" s="57"/>
      <c r="AB44">
        <v>4</v>
      </c>
      <c r="AC44" s="57">
        <v>9.5883463269277505E-2</v>
      </c>
      <c r="AD44">
        <v>0.13642462579018999</v>
      </c>
    </row>
    <row r="45" spans="1:30" x14ac:dyDescent="0.2">
      <c r="B45" s="60">
        <v>7.4983545473821092E-2</v>
      </c>
      <c r="C45" s="61">
        <v>9.1899403980737815E-2</v>
      </c>
      <c r="D45">
        <v>1</v>
      </c>
      <c r="E45" s="60">
        <v>0.20911115186727225</v>
      </c>
      <c r="F45" s="61">
        <v>1.0000066985464601E-2</v>
      </c>
      <c r="G45" s="25">
        <v>1.0000153221775795E-2</v>
      </c>
      <c r="H45" s="25">
        <v>0.27088877147694684</v>
      </c>
      <c r="I45" s="25">
        <v>9.999986335827861E-2</v>
      </c>
      <c r="J45" s="25">
        <v>0.17059934146954922</v>
      </c>
      <c r="K45" s="25">
        <v>1.0000009353898113E-2</v>
      </c>
      <c r="L45" s="25">
        <v>1.0000075372615895E-2</v>
      </c>
      <c r="M45" s="25">
        <v>0.19940026554082876</v>
      </c>
      <c r="N45" s="21">
        <v>1.0000301353370022E-2</v>
      </c>
      <c r="P45" s="27">
        <f t="array" ref="P45">SQRT(MMULT($E45:$N45,MMULT($G$5:$P$14,TRANSPOSE($E45:$N45))))-B45</f>
        <v>0</v>
      </c>
      <c r="Q45" s="27">
        <f t="shared" si="0"/>
        <v>0</v>
      </c>
      <c r="R45" s="27">
        <f t="array" ref="R45">SUM(IF($E45:$N45&lt;TRANSPOSE($D$5:$D$14),1,"-"))+SUM(IF($E45:$N45&gt;TRANSPOSE($E$5:$E$14),1,"-"))</f>
        <v>0</v>
      </c>
      <c r="S45" s="27">
        <f t="array" ref="S45">SUM(IF(MMULT($E45:$N45,$C$18:$F$27)&lt;$C$31:$F$31,1,"-"))+SUM(IF(MMULT($E45:$N45,$C$18:$F$27)&gt;$C$32:$F$32,1,"-"))</f>
        <v>0</v>
      </c>
      <c r="T45" s="27">
        <f t="shared" si="1"/>
        <v>1.0000000000000002</v>
      </c>
      <c r="V45" s="20">
        <v>7.4080895998572732E-2</v>
      </c>
      <c r="W45" s="21">
        <v>9.0512294482062688E-2</v>
      </c>
      <c r="X45">
        <f t="shared" ref="X45:X108" si="4">EfficientFrontier3($G$5:$P$14,$B$5:$B$14,$D$5:$D$14,$E$5:$E$14,$C$18:$F$27,$C$31:$F$31,$C$32:$F$32,"TGT_RETURN",,,W45)</f>
        <v>7.4985799198670516E-2</v>
      </c>
      <c r="Z45" s="57"/>
      <c r="AB45">
        <v>5</v>
      </c>
      <c r="AC45" s="57">
        <v>9.5850671875314999E-2</v>
      </c>
      <c r="AD45">
        <v>0.136297591575094</v>
      </c>
    </row>
    <row r="46" spans="1:30" x14ac:dyDescent="0.2">
      <c r="B46" s="60">
        <v>7.4984232795624245E-2</v>
      </c>
      <c r="C46" s="61">
        <v>9.2220633665237778E-2</v>
      </c>
      <c r="D46">
        <v>1</v>
      </c>
      <c r="E46" s="60">
        <v>0.21025378661382554</v>
      </c>
      <c r="F46" s="61">
        <v>1.0000135162094123E-2</v>
      </c>
      <c r="G46" s="25">
        <v>1.000029284025011E-2</v>
      </c>
      <c r="H46" s="25">
        <v>0.26974797998807787</v>
      </c>
      <c r="I46" s="25">
        <v>9.9997822830225638E-2</v>
      </c>
      <c r="J46" s="25">
        <v>0.1744588417287401</v>
      </c>
      <c r="K46" s="25">
        <v>1.0000023300941583E-2</v>
      </c>
      <c r="L46" s="25">
        <v>1.0000165371960225E-2</v>
      </c>
      <c r="M46" s="25">
        <v>0.19554065968174122</v>
      </c>
      <c r="N46" s="21">
        <v>1.0000292482143666E-2</v>
      </c>
      <c r="P46" s="27">
        <f t="array" ref="P46">SQRT(MMULT($E46:$N46,MMULT($G$5:$P$14,TRANSPOSE($E46:$N46))))-B46</f>
        <v>0</v>
      </c>
      <c r="Q46" s="27">
        <f t="shared" si="0"/>
        <v>0</v>
      </c>
      <c r="R46" s="27">
        <f t="array" ref="R46">SUM(IF($E46:$N46&lt;TRANSPOSE($D$5:$D$14),1,"-"))+SUM(IF($E46:$N46&gt;TRANSPOSE($E$5:$E$14),1,"-"))</f>
        <v>0</v>
      </c>
      <c r="S46" s="27">
        <f t="array" ref="S46">SUM(IF(MMULT($E46:$N46,$C$18:$F$27)&lt;$C$31:$F$31,1,"-"))+SUM(IF(MMULT($E46:$N46,$C$18:$F$27)&gt;$C$32:$F$32,1,"-"))</f>
        <v>0</v>
      </c>
      <c r="T46" s="27">
        <f t="shared" si="1"/>
        <v>1</v>
      </c>
      <c r="V46" s="20">
        <v>7.4081805498194431E-2</v>
      </c>
      <c r="W46" s="21">
        <v>9.0882257624538998E-2</v>
      </c>
      <c r="X46">
        <f t="shared" si="4"/>
        <v>7.4984374912016191E-2</v>
      </c>
      <c r="Z46" s="57"/>
      <c r="AB46">
        <v>6</v>
      </c>
      <c r="AC46" s="57">
        <v>9.5861990723339799E-2</v>
      </c>
      <c r="AD46">
        <v>0.13628971334479201</v>
      </c>
    </row>
    <row r="47" spans="1:30" x14ac:dyDescent="0.2">
      <c r="B47" s="60">
        <v>7.4985357509981657E-2</v>
      </c>
      <c r="C47" s="61">
        <v>9.2541863349737657E-2</v>
      </c>
      <c r="D47">
        <v>1</v>
      </c>
      <c r="E47" s="60">
        <v>0.21139623392928525</v>
      </c>
      <c r="F47" s="61">
        <v>1.0000041108638585E-2</v>
      </c>
      <c r="G47" s="25">
        <v>1.0000073693344869E-2</v>
      </c>
      <c r="H47" s="25">
        <v>0.26860519463935734</v>
      </c>
      <c r="I47" s="25">
        <v>9.9998462535205057E-2</v>
      </c>
      <c r="J47" s="25">
        <v>0.17831750785105618</v>
      </c>
      <c r="K47" s="25">
        <v>1.0000008178297506E-2</v>
      </c>
      <c r="L47" s="25">
        <v>1.0000057318026077E-2</v>
      </c>
      <c r="M47" s="25">
        <v>0.19168237880855751</v>
      </c>
      <c r="N47" s="21">
        <v>1.0000041938231726E-2</v>
      </c>
      <c r="P47" s="27">
        <f t="array" ref="P47">SQRT(MMULT($E47:$N47,MMULT($G$5:$P$14,TRANSPOSE($E47:$N47))))-B47</f>
        <v>0</v>
      </c>
      <c r="Q47" s="27">
        <f t="shared" si="0"/>
        <v>0</v>
      </c>
      <c r="R47" s="27">
        <f t="array" ref="R47">SUM(IF($E47:$N47&lt;TRANSPOSE($D$5:$D$14),1,"-"))+SUM(IF($E47:$N47&gt;TRANSPOSE($E$5:$E$14),1,"-"))</f>
        <v>0</v>
      </c>
      <c r="S47" s="27">
        <f t="array" ref="S47">SUM(IF(MMULT($E47:$N47,$C$18:$F$27)&lt;$C$31:$F$31,1,"-"))+SUM(IF(MMULT($E47:$N47,$C$18:$F$27)&gt;$C$32:$F$32,1,"-"))</f>
        <v>0</v>
      </c>
      <c r="T47" s="27">
        <f t="shared" si="1"/>
        <v>1.0000000000000002</v>
      </c>
      <c r="V47" s="20">
        <v>7.4083321306084096E-2</v>
      </c>
      <c r="W47" s="21">
        <v>9.1252220767015335E-2</v>
      </c>
      <c r="X47">
        <f t="shared" si="4"/>
        <v>7.4983549973334673E-2</v>
      </c>
      <c r="Z47" s="57"/>
      <c r="AB47">
        <v>7</v>
      </c>
      <c r="AC47" s="57">
        <v>9.5874275120376801E-2</v>
      </c>
      <c r="AD47">
        <v>0.13628959030694801</v>
      </c>
    </row>
    <row r="48" spans="1:30" x14ac:dyDescent="0.2">
      <c r="B48" s="60">
        <v>7.4986938667572778E-2</v>
      </c>
      <c r="C48" s="61">
        <v>9.2863093034237509E-2</v>
      </c>
      <c r="D48">
        <v>1</v>
      </c>
      <c r="E48" s="60">
        <v>0.21253845861266252</v>
      </c>
      <c r="F48" s="61">
        <v>1.0000010690854978E-2</v>
      </c>
      <c r="G48" s="25">
        <v>1.0000010437182101E-2</v>
      </c>
      <c r="H48" s="25">
        <v>0.26746250729269261</v>
      </c>
      <c r="I48" s="25">
        <v>9.9999014666081923E-2</v>
      </c>
      <c r="J48" s="25">
        <v>0.18217595200899764</v>
      </c>
      <c r="K48" s="25">
        <v>1.0000002061540929E-2</v>
      </c>
      <c r="L48" s="25">
        <v>1.000001272010783E-2</v>
      </c>
      <c r="M48" s="25">
        <v>0.18782400671737542</v>
      </c>
      <c r="N48" s="21">
        <v>1.0000024792504099E-2</v>
      </c>
      <c r="P48" s="27">
        <f t="array" ref="P48">SQRT(MMULT($E48:$N48,MMULT($G$5:$P$14,TRANSPOSE($E48:$N48))))-B48</f>
        <v>0</v>
      </c>
      <c r="Q48" s="27">
        <f t="shared" si="0"/>
        <v>0</v>
      </c>
      <c r="R48" s="27">
        <f t="array" ref="R48">SUM(IF($E48:$N48&lt;TRANSPOSE($D$5:$D$14),1,"-"))+SUM(IF($E48:$N48&gt;TRANSPOSE($E$5:$E$14),1,"-"))</f>
        <v>0</v>
      </c>
      <c r="S48" s="27">
        <f t="array" ref="S48">SUM(IF(MMULT($E48:$N48,$C$18:$F$27)&lt;$C$31:$F$31,1,"-"))+SUM(IF(MMULT($E48:$N48,$C$18:$F$27)&gt;$C$32:$F$32,1,"-"))</f>
        <v>0</v>
      </c>
      <c r="T48" s="27">
        <f t="shared" si="1"/>
        <v>1.0000000000000002</v>
      </c>
      <c r="V48" s="20">
        <v>7.4085443385027011E-2</v>
      </c>
      <c r="W48" s="21">
        <v>9.1622183909491658E-2</v>
      </c>
      <c r="X48">
        <f t="shared" si="4"/>
        <v>7.4983324330377354E-2</v>
      </c>
      <c r="Z48" s="57"/>
      <c r="AB48">
        <v>8</v>
      </c>
      <c r="AC48" s="57">
        <v>9.5875868350577098E-2</v>
      </c>
      <c r="AD48">
        <v>0.13628958982633499</v>
      </c>
    </row>
    <row r="49" spans="2:30" x14ac:dyDescent="0.2">
      <c r="B49" s="60">
        <v>7.4989029246618849E-2</v>
      </c>
      <c r="C49" s="61">
        <v>9.3184322718737375E-2</v>
      </c>
      <c r="D49">
        <v>1</v>
      </c>
      <c r="E49" s="60">
        <v>0.21367953523807359</v>
      </c>
      <c r="F49" s="61">
        <v>1.0000469321978742E-2</v>
      </c>
      <c r="G49" s="25">
        <v>1.0002329067919789E-2</v>
      </c>
      <c r="H49" s="25">
        <v>0.26632085316266102</v>
      </c>
      <c r="I49" s="25">
        <v>9.9996853801574942E-2</v>
      </c>
      <c r="J49" s="25">
        <v>0.18603057327804898</v>
      </c>
      <c r="K49" s="25">
        <v>1.0000054855623469E-2</v>
      </c>
      <c r="L49" s="25">
        <v>1.000072619693192E-2</v>
      </c>
      <c r="M49" s="25">
        <v>0.18396510113807887</v>
      </c>
      <c r="N49" s="21">
        <v>1.0003503939108618E-2</v>
      </c>
      <c r="P49" s="27">
        <f t="array" ref="P49">SQRT(MMULT($E49:$N49,MMULT($G$5:$P$14,TRANSPOSE($E49:$N49))))-B49</f>
        <v>0</v>
      </c>
      <c r="Q49" s="27">
        <f t="shared" si="0"/>
        <v>0</v>
      </c>
      <c r="R49" s="27">
        <f t="array" ref="R49">SUM(IF($E49:$N49&lt;TRANSPOSE($D$5:$D$14),1,"-"))+SUM(IF($E49:$N49&gt;TRANSPOSE($E$5:$E$14),1,"-"))</f>
        <v>0</v>
      </c>
      <c r="S49" s="27">
        <f t="array" ref="S49">SUM(IF(MMULT($E49:$N49,$C$18:$F$27)&lt;$C$31:$F$31,1,"-"))+SUM(IF(MMULT($E49:$N49,$C$18:$F$27)&gt;$C$32:$F$32,1,"-"))</f>
        <v>0</v>
      </c>
      <c r="T49" s="27">
        <f t="shared" si="1"/>
        <v>1</v>
      </c>
      <c r="V49" s="20">
        <v>7.4088171682925655E-2</v>
      </c>
      <c r="W49" s="21">
        <v>9.1992147051967954E-2</v>
      </c>
      <c r="X49">
        <f t="shared" si="4"/>
        <v>7.4983697942569386E-2</v>
      </c>
      <c r="Z49" s="57"/>
      <c r="AB49">
        <v>9</v>
      </c>
      <c r="AC49" s="57">
        <v>9.58760390238588E-2</v>
      </c>
      <c r="AD49">
        <v>0.13628958982610101</v>
      </c>
    </row>
    <row r="50" spans="2:30" x14ac:dyDescent="0.2">
      <c r="B50" s="60">
        <v>7.4991458913850256E-2</v>
      </c>
      <c r="C50" s="61">
        <v>9.3505552403236117E-2</v>
      </c>
      <c r="D50">
        <v>1</v>
      </c>
      <c r="E50" s="60">
        <v>0.21482326164735449</v>
      </c>
      <c r="F50" s="61">
        <v>1.0000001242340354E-2</v>
      </c>
      <c r="G50" s="25">
        <v>1.0000002090539674E-2</v>
      </c>
      <c r="H50" s="25">
        <v>0.26517674433756466</v>
      </c>
      <c r="I50" s="25">
        <v>9.9999991174858083E-2</v>
      </c>
      <c r="J50" s="25">
        <v>0.18989261893395476</v>
      </c>
      <c r="K50" s="25">
        <v>1.0000000244894829E-2</v>
      </c>
      <c r="L50" s="25">
        <v>1.0000001530611988E-2</v>
      </c>
      <c r="M50" s="25">
        <v>0.18010737712286123</v>
      </c>
      <c r="N50" s="21">
        <v>1.0000001675019965E-2</v>
      </c>
      <c r="P50" s="27">
        <f t="array" ref="P50">SQRT(MMULT($E50:$N50,MMULT($G$5:$P$14,TRANSPOSE($E50:$N50))))-B50</f>
        <v>0</v>
      </c>
      <c r="Q50" s="27">
        <f t="shared" si="0"/>
        <v>0</v>
      </c>
      <c r="R50" s="27">
        <f t="array" ref="R50">SUM(IF($E50:$N50&lt;TRANSPOSE($D$5:$D$14),1,"-"))+SUM(IF($E50:$N50&gt;TRANSPOSE($E$5:$E$14),1,"-"))</f>
        <v>0</v>
      </c>
      <c r="S50" s="27">
        <f t="array" ref="S50">SUM(IF(MMULT($E50:$N50,$C$18:$F$27)&lt;$C$31:$F$31,1,"-"))+SUM(IF(MMULT($E50:$N50,$C$18:$F$27)&gt;$C$32:$F$32,1,"-"))</f>
        <v>0</v>
      </c>
      <c r="T50" s="27">
        <f t="shared" si="1"/>
        <v>1</v>
      </c>
      <c r="V50" s="20">
        <v>7.4091506132811971E-2</v>
      </c>
      <c r="W50" s="21">
        <v>9.2362110194444319E-2</v>
      </c>
      <c r="X50">
        <f t="shared" si="4"/>
        <v>7.4984670757924282E-2</v>
      </c>
      <c r="Z50" s="57"/>
      <c r="AB50">
        <v>10</v>
      </c>
      <c r="AC50" s="57">
        <v>9.5895779159969205E-2</v>
      </c>
      <c r="AD50">
        <v>0.13628958982608599</v>
      </c>
    </row>
    <row r="51" spans="2:30" x14ac:dyDescent="0.2">
      <c r="B51" s="60">
        <v>7.4994397990660197E-2</v>
      </c>
      <c r="C51" s="61">
        <v>9.3826782087737121E-2</v>
      </c>
      <c r="D51">
        <v>1</v>
      </c>
      <c r="E51" s="60">
        <v>0.21596560011023913</v>
      </c>
      <c r="F51" s="61">
        <v>1.0000009208821338E-2</v>
      </c>
      <c r="G51" s="25">
        <v>1.0000019051849064E-2</v>
      </c>
      <c r="H51" s="25">
        <v>0.26403441415060058</v>
      </c>
      <c r="I51" s="25">
        <v>9.9999959032064115E-2</v>
      </c>
      <c r="J51" s="25">
        <v>0.19375121966892006</v>
      </c>
      <c r="K51" s="25">
        <v>1.0000001343223559E-2</v>
      </c>
      <c r="L51" s="25">
        <v>1.0000029445658941E-2</v>
      </c>
      <c r="M51" s="25">
        <v>0.17624872129292221</v>
      </c>
      <c r="N51" s="21">
        <v>1.0000026695701079E-2</v>
      </c>
      <c r="P51" s="27">
        <f t="array" ref="P51">SQRT(MMULT($E51:$N51,MMULT($G$5:$P$14,TRANSPOSE($E51:$N51))))-B51</f>
        <v>0</v>
      </c>
      <c r="Q51" s="27">
        <f t="shared" si="0"/>
        <v>0</v>
      </c>
      <c r="R51" s="27">
        <f t="array" ref="R51">SUM(IF($E51:$N51&lt;TRANSPOSE($D$5:$D$14),1,"-"))+SUM(IF($E51:$N51&gt;TRANSPOSE($E$5:$E$14),1,"-"))</f>
        <v>0</v>
      </c>
      <c r="S51" s="27">
        <f t="array" ref="S51">SUM(IF(MMULT($E51:$N51,$C$18:$F$27)&lt;$C$31:$F$31,1,"-"))+SUM(IF(MMULT($E51:$N51,$C$18:$F$27)&gt;$C$32:$F$32,1,"-"))</f>
        <v>0</v>
      </c>
      <c r="T51" s="27">
        <f t="shared" si="1"/>
        <v>1</v>
      </c>
      <c r="V51" s="20">
        <v>7.4095446652860095E-2</v>
      </c>
      <c r="W51" s="21">
        <v>9.2732073336920615E-2</v>
      </c>
      <c r="X51">
        <f t="shared" si="4"/>
        <v>7.4986242718823176E-2</v>
      </c>
      <c r="Z51" s="57"/>
      <c r="AC51" s="57"/>
    </row>
    <row r="52" spans="2:30" x14ac:dyDescent="0.2">
      <c r="B52" s="60">
        <v>7.4997927872630432E-2</v>
      </c>
      <c r="C52" s="61">
        <v>9.4148011772237014E-2</v>
      </c>
      <c r="D52">
        <v>1</v>
      </c>
      <c r="E52" s="60">
        <v>0.21710568936306121</v>
      </c>
      <c r="F52" s="61">
        <v>1.0002164115351288E-2</v>
      </c>
      <c r="G52" s="25">
        <v>1.0007597447094251E-2</v>
      </c>
      <c r="H52" s="25">
        <v>0.26288685227983616</v>
      </c>
      <c r="I52" s="25">
        <v>9.9997756102289712E-2</v>
      </c>
      <c r="J52" s="25">
        <v>0.19759515396874749</v>
      </c>
      <c r="K52" s="25">
        <v>1.0000105352556181E-2</v>
      </c>
      <c r="L52" s="25">
        <v>1.0000442055552628E-2</v>
      </c>
      <c r="M52" s="25">
        <v>0.17239484834685262</v>
      </c>
      <c r="N52" s="21">
        <v>1.0009390968658513E-2</v>
      </c>
      <c r="P52" s="27">
        <f t="array" ref="P52">SQRT(MMULT($E52:$N52,MMULT($G$5:$P$14,TRANSPOSE($E52:$N52))))-B52</f>
        <v>0</v>
      </c>
      <c r="Q52" s="27">
        <f t="shared" si="0"/>
        <v>0</v>
      </c>
      <c r="R52" s="27">
        <f t="array" ref="R52">SUM(IF($E52:$N52&lt;TRANSPOSE($D$5:$D$14),1,"-"))+SUM(IF($E52:$N52&gt;TRANSPOSE($E$5:$E$14),1,"-"))</f>
        <v>0</v>
      </c>
      <c r="S52" s="27">
        <f t="array" ref="S52">SUM(IF(MMULT($E52:$N52,$C$18:$F$27)&lt;$C$31:$F$31,1,"-"))+SUM(IF(MMULT($E52:$N52,$C$18:$F$27)&gt;$C$32:$F$32,1,"-"))</f>
        <v>0</v>
      </c>
      <c r="T52" s="27">
        <f t="shared" si="1"/>
        <v>0.99999999999999989</v>
      </c>
      <c r="V52" s="20">
        <v>7.4099993146363466E-2</v>
      </c>
      <c r="W52" s="21">
        <v>9.3102036479396924E-2</v>
      </c>
      <c r="X52">
        <f t="shared" si="4"/>
        <v>7.4988414435547143E-2</v>
      </c>
      <c r="AC52" s="57"/>
    </row>
    <row r="53" spans="2:30" x14ac:dyDescent="0.2">
      <c r="B53" s="60">
        <v>7.5001629335664871E-2</v>
      </c>
      <c r="C53" s="61">
        <v>9.446924145673688E-2</v>
      </c>
      <c r="D53">
        <v>1</v>
      </c>
      <c r="E53" s="60">
        <v>0.21825040175948143</v>
      </c>
      <c r="F53" s="61">
        <v>1.0000007260395613E-2</v>
      </c>
      <c r="G53" s="25">
        <v>1.0000014977859692E-2</v>
      </c>
      <c r="H53" s="25">
        <v>0.26174974368650683</v>
      </c>
      <c r="I53" s="25">
        <v>9.9999832484433449E-2</v>
      </c>
      <c r="J53" s="25">
        <v>0.20146831005184634</v>
      </c>
      <c r="K53" s="25">
        <v>1.0000000255802973E-2</v>
      </c>
      <c r="L53" s="25">
        <v>1.0000006695584047E-2</v>
      </c>
      <c r="M53" s="25">
        <v>0.16853151189936688</v>
      </c>
      <c r="N53" s="21">
        <v>1.0000170928722936E-2</v>
      </c>
      <c r="P53" s="27">
        <f t="array" ref="P53">SQRT(MMULT($E53:$N53,MMULT($G$5:$P$14,TRANSPOSE($E53:$N53))))-B53</f>
        <v>0</v>
      </c>
      <c r="Q53" s="27">
        <f t="shared" si="0"/>
        <v>0</v>
      </c>
      <c r="R53" s="27">
        <f t="array" ref="R53">SUM(IF($E53:$N53&lt;TRANSPOSE($D$5:$D$14),1,"-"))+SUM(IF($E53:$N53&gt;TRANSPOSE($E$5:$E$14),1,"-"))</f>
        <v>0</v>
      </c>
      <c r="S53" s="27">
        <f t="array" ref="S53">SUM(IF(MMULT($E53:$N53,$C$18:$F$27)&lt;$C$31:$F$31,1,"-"))+SUM(IF(MMULT($E53:$N53,$C$18:$F$27)&gt;$C$32:$F$32,1,"-"))</f>
        <v>0</v>
      </c>
      <c r="T53" s="27">
        <f t="shared" si="1"/>
        <v>1.0000000000000002</v>
      </c>
      <c r="V53" s="20">
        <v>7.4105145501797712E-2</v>
      </c>
      <c r="W53" s="21">
        <v>9.3471999621873275E-2</v>
      </c>
      <c r="X53">
        <f t="shared" si="4"/>
        <v>7.4991185150824161E-2</v>
      </c>
      <c r="Z53" s="57"/>
      <c r="AC53" s="57"/>
    </row>
    <row r="54" spans="2:30" x14ac:dyDescent="0.2">
      <c r="B54" s="60">
        <v>7.5005922319468232E-2</v>
      </c>
      <c r="C54" s="61">
        <v>9.4790471141235177E-2</v>
      </c>
      <c r="D54">
        <v>1</v>
      </c>
      <c r="E54" s="60">
        <v>0.21939275810684311</v>
      </c>
      <c r="F54" s="61">
        <v>1.0000013163861312E-2</v>
      </c>
      <c r="G54" s="25">
        <v>1.0000025333764134E-2</v>
      </c>
      <c r="H54" s="25">
        <v>0.26060723725861562</v>
      </c>
      <c r="I54" s="25">
        <v>9.9999970287789022E-2</v>
      </c>
      <c r="J54" s="25">
        <v>0.2053268130578513</v>
      </c>
      <c r="K54" s="25">
        <v>1.0000002422587438E-2</v>
      </c>
      <c r="L54" s="25">
        <v>1.0000025777685603E-2</v>
      </c>
      <c r="M54" s="25">
        <v>0.16467295950376662</v>
      </c>
      <c r="N54" s="21">
        <v>1.0000195087235686E-2</v>
      </c>
      <c r="P54" s="27">
        <f t="array" ref="P54">SQRT(MMULT($E54:$N54,MMULT($G$5:$P$14,TRANSPOSE($E54:$N54))))-B54</f>
        <v>0</v>
      </c>
      <c r="Q54" s="27">
        <f t="shared" si="0"/>
        <v>0</v>
      </c>
      <c r="R54" s="27">
        <f t="array" ref="R54">SUM(IF($E54:$N54&lt;TRANSPOSE($D$5:$D$14),1,"-"))+SUM(IF($E54:$N54&gt;TRANSPOSE($E$5:$E$14),1,"-"))</f>
        <v>0</v>
      </c>
      <c r="S54" s="27">
        <f t="array" ref="S54">SUM(IF(MMULT($E54:$N54,$C$18:$F$27)&lt;$C$31:$F$31,1,"-"))+SUM(IF(MMULT($E54:$N54,$C$18:$F$27)&gt;$C$32:$F$32,1,"-"))</f>
        <v>0</v>
      </c>
      <c r="T54" s="27">
        <f t="shared" si="1"/>
        <v>0.99999999999999978</v>
      </c>
      <c r="V54" s="20">
        <v>7.4110903592800231E-2</v>
      </c>
      <c r="W54" s="21">
        <v>9.3841962764349571E-2</v>
      </c>
      <c r="X54">
        <f t="shared" si="4"/>
        <v>7.4994554745295691E-2</v>
      </c>
      <c r="Z54" s="57"/>
      <c r="AC54" s="57"/>
    </row>
    <row r="55" spans="2:30" x14ac:dyDescent="0.2">
      <c r="B55" s="60">
        <v>7.5010691103075317E-2</v>
      </c>
      <c r="C55" s="61">
        <v>9.511170082573657E-2</v>
      </c>
      <c r="D55">
        <v>1</v>
      </c>
      <c r="E55" s="60">
        <v>0.22053451944967961</v>
      </c>
      <c r="F55" s="61">
        <v>1.0000331911670665E-2</v>
      </c>
      <c r="G55" s="25">
        <v>1.0000458031671225E-2</v>
      </c>
      <c r="H55" s="25">
        <v>0.25946739029038363</v>
      </c>
      <c r="I55" s="25">
        <v>9.9997334751088213E-2</v>
      </c>
      <c r="J55" s="25">
        <v>0.20918568300540866</v>
      </c>
      <c r="K55" s="25">
        <v>1.0000051071540582E-2</v>
      </c>
      <c r="L55" s="25">
        <v>1.0000515637623759E-2</v>
      </c>
      <c r="M55" s="25">
        <v>0.16081242819703381</v>
      </c>
      <c r="N55" s="21">
        <v>1.0001287653899722E-2</v>
      </c>
      <c r="P55" s="27">
        <f t="array" ref="P55">SQRT(MMULT($E55:$N55,MMULT($G$5:$P$14,TRANSPOSE($E55:$N55))))-B55</f>
        <v>0</v>
      </c>
      <c r="Q55" s="27">
        <f t="shared" si="0"/>
        <v>0</v>
      </c>
      <c r="R55" s="27">
        <f t="array" ref="R55">SUM(IF($E55:$N55&lt;TRANSPOSE($D$5:$D$14),1,"-"))+SUM(IF($E55:$N55&gt;TRANSPOSE($E$5:$E$14),1,"-"))</f>
        <v>0</v>
      </c>
      <c r="S55" s="27">
        <f t="array" ref="S55">SUM(IF(MMULT($E55:$N55,$C$18:$F$27)&lt;$C$31:$F$31,1,"-"))+SUM(IF(MMULT($E55:$N55,$C$18:$F$27)&gt;$C$32:$F$32,1,"-"))</f>
        <v>0</v>
      </c>
      <c r="T55" s="27">
        <f t="shared" si="1"/>
        <v>0.99999999999999967</v>
      </c>
      <c r="V55" s="20">
        <v>7.4117267278237045E-2</v>
      </c>
      <c r="W55" s="21">
        <v>9.4211925906825908E-2</v>
      </c>
      <c r="X55">
        <f t="shared" si="4"/>
        <v>7.4998523138570403E-2</v>
      </c>
      <c r="Z55" s="57"/>
      <c r="AC55" s="57"/>
    </row>
    <row r="56" spans="2:30" x14ac:dyDescent="0.2">
      <c r="B56" s="60">
        <v>7.5015919884170029E-2</v>
      </c>
      <c r="C56" s="61">
        <v>9.5432930510236505E-2</v>
      </c>
      <c r="D56">
        <v>1</v>
      </c>
      <c r="E56" s="60">
        <v>0.22167651020864032</v>
      </c>
      <c r="F56" s="61">
        <v>1.0000745533524633E-2</v>
      </c>
      <c r="G56" s="25">
        <v>1.0001155476846392E-2</v>
      </c>
      <c r="H56" s="25">
        <v>0.25832502307722627</v>
      </c>
      <c r="I56" s="25">
        <v>9.9996657694387162E-2</v>
      </c>
      <c r="J56" s="25">
        <v>0.21304329158108884</v>
      </c>
      <c r="K56" s="25">
        <v>1.0000123346422462E-2</v>
      </c>
      <c r="L56" s="25">
        <v>1.0001851611170808E-2</v>
      </c>
      <c r="M56" s="25">
        <v>0.15695234586113063</v>
      </c>
      <c r="N56" s="21">
        <v>1.0002295609562546E-2</v>
      </c>
      <c r="P56" s="27">
        <f t="array" ref="P56">SQRT(MMULT($E56:$N56,MMULT($G$5:$P$14,TRANSPOSE($E56:$N56))))-B56</f>
        <v>0</v>
      </c>
      <c r="Q56" s="27">
        <f t="shared" si="0"/>
        <v>0</v>
      </c>
      <c r="R56" s="27">
        <f t="array" ref="R56">SUM(IF($E56:$N56&lt;TRANSPOSE($D$5:$D$14),1,"-"))+SUM(IF($E56:$N56&gt;TRANSPOSE($E$5:$E$14),1,"-"))</f>
        <v>0</v>
      </c>
      <c r="S56" s="27">
        <f t="array" ref="S56">SUM(IF(MMULT($E56:$N56,$C$18:$F$27)&lt;$C$31:$F$31,1,"-"))+SUM(IF(MMULT($E56:$N56,$C$18:$F$27)&gt;$C$32:$F$32,1,"-"))</f>
        <v>0</v>
      </c>
      <c r="T56" s="27">
        <f t="shared" si="1"/>
        <v>1</v>
      </c>
      <c r="V56" s="20">
        <v>7.4124236402046267E-2</v>
      </c>
      <c r="W56" s="21">
        <v>9.4581889049302231E-2</v>
      </c>
      <c r="X56">
        <f t="shared" si="4"/>
        <v>7.500309027638008E-2</v>
      </c>
      <c r="AC56" s="57"/>
    </row>
    <row r="57" spans="2:30" x14ac:dyDescent="0.2">
      <c r="B57" s="60">
        <v>7.50215511574953E-2</v>
      </c>
      <c r="C57" s="61">
        <v>9.5754160194736385E-2</v>
      </c>
      <c r="D57">
        <v>1</v>
      </c>
      <c r="E57" s="60">
        <v>0.22281927638476051</v>
      </c>
      <c r="F57" s="61">
        <v>1.0000584647485218E-2</v>
      </c>
      <c r="G57" s="25">
        <v>1.0000856759579541E-2</v>
      </c>
      <c r="H57" s="25">
        <v>0.25718239411723848</v>
      </c>
      <c r="I57" s="25">
        <v>9.9996960160923271E-2</v>
      </c>
      <c r="J57" s="25">
        <v>0.21690237700556525</v>
      </c>
      <c r="K57" s="25">
        <v>1.0000096663509596E-2</v>
      </c>
      <c r="L57" s="25">
        <v>1.0001304582001182E-2</v>
      </c>
      <c r="M57" s="25">
        <v>0.15309444572973885</v>
      </c>
      <c r="N57" s="21">
        <v>1.0001703949198184E-2</v>
      </c>
      <c r="P57" s="27">
        <f t="array" ref="P57">SQRT(MMULT($E57:$N57,MMULT($G$5:$P$14,TRANSPOSE($E57:$N57))))-B57</f>
        <v>0</v>
      </c>
      <c r="Q57" s="27">
        <f t="shared" si="0"/>
        <v>0</v>
      </c>
      <c r="R57" s="27">
        <f t="array" ref="R57">SUM(IF($E57:$N57&lt;TRANSPOSE($D$5:$D$14),1,"-"))+SUM(IF($E57:$N57&gt;TRANSPOSE($E$5:$E$14),1,"-"))</f>
        <v>0</v>
      </c>
      <c r="S57" s="27">
        <f t="array" ref="S57">SUM(IF(MMULT($E57:$N57,$C$18:$F$27)&lt;$C$31:$F$31,1,"-"))+SUM(IF(MMULT($E57:$N57,$C$18:$F$27)&gt;$C$32:$F$32,1,"-"))</f>
        <v>0</v>
      </c>
      <c r="T57" s="27">
        <f t="shared" si="1"/>
        <v>1.0000000000000002</v>
      </c>
      <c r="V57" s="20">
        <v>7.4131810793487921E-2</v>
      </c>
      <c r="W57" s="21">
        <v>9.4951852191778513E-2</v>
      </c>
      <c r="X57">
        <f t="shared" si="4"/>
        <v>7.5008256211182428E-2</v>
      </c>
      <c r="AC57" s="57"/>
    </row>
    <row r="58" spans="2:30" x14ac:dyDescent="0.2">
      <c r="B58" s="60">
        <v>7.5027618789238609E-2</v>
      </c>
      <c r="C58" s="61">
        <v>9.6075389879236278E-2</v>
      </c>
      <c r="D58">
        <v>1</v>
      </c>
      <c r="E58" s="60">
        <v>0.22396215499121166</v>
      </c>
      <c r="F58" s="61">
        <v>1.0000173396201271E-2</v>
      </c>
      <c r="G58" s="25">
        <v>1.0000258307475857E-2</v>
      </c>
      <c r="H58" s="25">
        <v>0.25603950348552268</v>
      </c>
      <c r="I58" s="25">
        <v>9.9997930077225433E-2</v>
      </c>
      <c r="J58" s="25">
        <v>0.22076151938988481</v>
      </c>
      <c r="K58" s="25">
        <v>1.0000027522289602E-2</v>
      </c>
      <c r="L58" s="25">
        <v>1.0000417766507614E-2</v>
      </c>
      <c r="M58" s="25">
        <v>0.14923715380252425</v>
      </c>
      <c r="N58" s="21">
        <v>1.0000861261156862E-2</v>
      </c>
      <c r="P58" s="27">
        <f t="array" ref="P58">SQRT(MMULT($E58:$N58,MMULT($G$5:$P$14,TRANSPOSE($E58:$N58))))-B58</f>
        <v>0</v>
      </c>
      <c r="Q58" s="27">
        <f t="shared" si="0"/>
        <v>0</v>
      </c>
      <c r="R58" s="27">
        <f t="array" ref="R58">SUM(IF($E58:$N58&lt;TRANSPOSE($D$5:$D$14),1,"-"))+SUM(IF($E58:$N58&gt;TRANSPOSE($E$5:$E$14),1,"-"))</f>
        <v>0</v>
      </c>
      <c r="S58" s="27">
        <f t="array" ref="S58">SUM(IF(MMULT($E58:$N58,$C$18:$F$27)&lt;$C$31:$F$31,1,"-"))+SUM(IF(MMULT($E58:$N58,$C$18:$F$27)&gt;$C$32:$F$32,1,"-"))</f>
        <v>0</v>
      </c>
      <c r="T58" s="27">
        <f t="shared" si="1"/>
        <v>0.99999999999999989</v>
      </c>
      <c r="V58" s="20">
        <v>7.4139990267123035E-2</v>
      </c>
      <c r="W58" s="21">
        <v>9.5321815334254878E-2</v>
      </c>
      <c r="X58">
        <f t="shared" si="4"/>
        <v>7.5014020946799667E-2</v>
      </c>
    </row>
    <row r="59" spans="2:30" x14ac:dyDescent="0.2">
      <c r="B59" s="60">
        <v>7.5034199521007122E-2</v>
      </c>
      <c r="C59" s="61">
        <v>9.639661956373613E-2</v>
      </c>
      <c r="D59">
        <v>1</v>
      </c>
      <c r="E59" s="60">
        <v>0.22510391630911869</v>
      </c>
      <c r="F59" s="61">
        <v>1.0000614723993622E-2</v>
      </c>
      <c r="G59" s="25">
        <v>1.0000905890672309E-2</v>
      </c>
      <c r="H59" s="25">
        <v>0.25489754303271195</v>
      </c>
      <c r="I59" s="25">
        <v>9.9997098722209604E-2</v>
      </c>
      <c r="J59" s="25">
        <v>0.22461928587194718</v>
      </c>
      <c r="K59" s="25">
        <v>1.0000104810910019E-2</v>
      </c>
      <c r="L59" s="25">
        <v>1.0001577339706953E-2</v>
      </c>
      <c r="M59" s="25">
        <v>0.14537701072035503</v>
      </c>
      <c r="N59" s="21">
        <v>1.0001942578374761E-2</v>
      </c>
      <c r="P59" s="27">
        <f t="array" ref="P59">SQRT(MMULT($E59:$N59,MMULT($G$5:$P$14,TRANSPOSE($E59:$N59))))-B59</f>
        <v>0</v>
      </c>
      <c r="Q59" s="27">
        <f t="shared" si="0"/>
        <v>0</v>
      </c>
      <c r="R59" s="27">
        <f t="array" ref="R59">SUM(IF($E59:$N59&lt;TRANSPOSE($D$5:$D$14),1,"-"))+SUM(IF($E59:$N59&gt;TRANSPOSE($E$5:$E$14),1,"-"))</f>
        <v>0</v>
      </c>
      <c r="S59" s="27">
        <f t="array" ref="S59">SUM(IF(MMULT($E59:$N59,$C$18:$F$27)&lt;$C$31:$F$31,1,"-"))+SUM(IF(MMULT($E59:$N59,$C$18:$F$27)&gt;$C$32:$F$32,1,"-"))</f>
        <v>0</v>
      </c>
      <c r="T59" s="27">
        <f t="shared" si="1"/>
        <v>1.0000000000000002</v>
      </c>
      <c r="V59" s="20">
        <v>7.4148774622672817E-2</v>
      </c>
      <c r="W59" s="21">
        <v>9.5691778476731187E-2</v>
      </c>
      <c r="X59">
        <f t="shared" si="4"/>
        <v>7.5020384134313362E-2</v>
      </c>
    </row>
    <row r="60" spans="2:30" x14ac:dyDescent="0.2">
      <c r="B60" s="60">
        <v>7.5041153161188243E-2</v>
      </c>
      <c r="C60" s="61">
        <v>9.6717849248236037E-2</v>
      </c>
      <c r="D60">
        <v>1</v>
      </c>
      <c r="E60" s="60">
        <v>0.22624712029028976</v>
      </c>
      <c r="F60" s="61">
        <v>1.0000042068743125E-2</v>
      </c>
      <c r="G60" s="25">
        <v>1.0000066987963971E-2</v>
      </c>
      <c r="H60" s="25">
        <v>0.25375385996402311</v>
      </c>
      <c r="I60" s="25">
        <v>9.9998915494575916E-2</v>
      </c>
      <c r="J60" s="25">
        <v>0.22847873896006354</v>
      </c>
      <c r="K60" s="25">
        <v>1.0000006596853614E-2</v>
      </c>
      <c r="L60" s="25">
        <v>1.0000137376870815E-2</v>
      </c>
      <c r="M60" s="25">
        <v>0.14152073991277928</v>
      </c>
      <c r="N60" s="21">
        <v>1.0000372347836938E-2</v>
      </c>
      <c r="P60" s="27">
        <f t="array" ref="P60">SQRT(MMULT($E60:$N60,MMULT($G$5:$P$14,TRANSPOSE($E60:$N60))))-B60</f>
        <v>0</v>
      </c>
      <c r="Q60" s="27">
        <f t="shared" si="0"/>
        <v>0</v>
      </c>
      <c r="R60" s="27">
        <f t="array" ref="R60">SUM(IF($E60:$N60&lt;TRANSPOSE($D$5:$D$14),1,"-"))+SUM(IF($E60:$N60&gt;TRANSPOSE($E$5:$E$14),1,"-"))</f>
        <v>0</v>
      </c>
      <c r="S60" s="27">
        <f t="array" ref="S60">SUM(IF(MMULT($E60:$N60,$C$18:$F$27)&lt;$C$31:$F$31,1,"-"))+SUM(IF(MMULT($E60:$N60,$C$18:$F$27)&gt;$C$32:$F$32,1,"-"))</f>
        <v>0</v>
      </c>
      <c r="T60" s="27">
        <f t="shared" si="1"/>
        <v>1</v>
      </c>
      <c r="V60" s="20">
        <v>7.4158163645184641E-2</v>
      </c>
      <c r="W60" s="21">
        <v>9.6061741619207525E-2</v>
      </c>
      <c r="X60">
        <f t="shared" si="4"/>
        <v>7.5027345597088194E-2</v>
      </c>
    </row>
    <row r="61" spans="2:30" x14ac:dyDescent="0.2">
      <c r="B61" s="60">
        <v>7.5048614005502806E-2</v>
      </c>
      <c r="C61" s="61">
        <v>9.7039078932735334E-2</v>
      </c>
      <c r="D61">
        <v>1</v>
      </c>
      <c r="E61" s="60">
        <v>0.22738927906328385</v>
      </c>
      <c r="F61" s="61">
        <v>1.0000224459723513E-2</v>
      </c>
      <c r="G61" s="25">
        <v>1.0000456528043955E-2</v>
      </c>
      <c r="H61" s="25">
        <v>0.2526109363939919</v>
      </c>
      <c r="I61" s="25">
        <v>9.9999124180523771E-2</v>
      </c>
      <c r="J61" s="25">
        <v>0.23233617867195611</v>
      </c>
      <c r="K61" s="25">
        <v>1.0000030482265517E-2</v>
      </c>
      <c r="L61" s="25">
        <v>1.0000453421298404E-2</v>
      </c>
      <c r="M61" s="25">
        <v>0.13766217235677816</v>
      </c>
      <c r="N61" s="21">
        <v>1.0001144442134889E-2</v>
      </c>
      <c r="P61" s="27">
        <f t="array" ref="P61">SQRT(MMULT($E61:$N61,MMULT($G$5:$P$14,TRANSPOSE($E61:$N61))))-B61</f>
        <v>0</v>
      </c>
      <c r="Q61" s="27">
        <f t="shared" si="0"/>
        <v>0</v>
      </c>
      <c r="R61" s="27">
        <f t="array" ref="R61">SUM(IF($E61:$N61&lt;TRANSPOSE($D$5:$D$14),1,"-"))+SUM(IF($E61:$N61&gt;TRANSPOSE($E$5:$E$14),1,"-"))</f>
        <v>0</v>
      </c>
      <c r="S61" s="27">
        <f t="array" ref="S61">SUM(IF(MMULT($E61:$N61,$C$18:$F$27)&lt;$C$31:$F$31,1,"-"))+SUM(IF(MMULT($E61:$N61,$C$18:$F$27)&gt;$C$32:$F$32,1,"-"))</f>
        <v>0</v>
      </c>
      <c r="T61" s="27">
        <f t="shared" si="1"/>
        <v>1</v>
      </c>
      <c r="V61" s="20">
        <v>7.4168157105022225E-2</v>
      </c>
      <c r="W61" s="21">
        <v>9.643170476168382E-2</v>
      </c>
      <c r="X61">
        <f t="shared" si="4"/>
        <v>7.5034905170622931E-2</v>
      </c>
    </row>
    <row r="62" spans="2:30" x14ac:dyDescent="0.2">
      <c r="B62" s="60">
        <v>7.5056502697098029E-2</v>
      </c>
      <c r="C62" s="61">
        <v>9.7360308617235755E-2</v>
      </c>
      <c r="D62">
        <v>1</v>
      </c>
      <c r="E62" s="60">
        <v>0.22853197376366263</v>
      </c>
      <c r="F62" s="61">
        <v>1.0000095291440643E-2</v>
      </c>
      <c r="G62" s="25">
        <v>1.0000188561333509E-2</v>
      </c>
      <c r="H62" s="25">
        <v>0.25146874656913321</v>
      </c>
      <c r="I62" s="25">
        <v>9.9999007712915006E-2</v>
      </c>
      <c r="J62" s="25">
        <v>0.23619589619650155</v>
      </c>
      <c r="K62" s="25">
        <v>1.0000015851066912E-2</v>
      </c>
      <c r="L62" s="25">
        <v>1.0000117302488417E-2</v>
      </c>
      <c r="M62" s="25">
        <v>0.13380373290012376</v>
      </c>
      <c r="N62" s="21">
        <v>1.0000225851334298E-2</v>
      </c>
      <c r="P62" s="27">
        <f t="array" ref="P62">SQRT(MMULT($E62:$N62,MMULT($G$5:$P$14,TRANSPOSE($E62:$N62))))-B62</f>
        <v>0</v>
      </c>
      <c r="Q62" s="27">
        <f t="shared" si="0"/>
        <v>0</v>
      </c>
      <c r="R62" s="27">
        <f t="array" ref="R62">SUM(IF($E62:$N62&lt;TRANSPOSE($D$5:$D$14),1,"-"))+SUM(IF($E62:$N62&gt;TRANSPOSE($E$5:$E$14),1,"-"))</f>
        <v>0</v>
      </c>
      <c r="S62" s="27">
        <f t="array" ref="S62">SUM(IF(MMULT($E62:$N62,$C$18:$F$27)&lt;$C$31:$F$31,1,"-"))+SUM(IF(MMULT($E62:$N62,$C$18:$F$27)&gt;$C$32:$F$32,1,"-"))</f>
        <v>0</v>
      </c>
      <c r="T62" s="27">
        <f t="shared" si="1"/>
        <v>1</v>
      </c>
      <c r="V62" s="20">
        <v>7.4178754757893858E-2</v>
      </c>
      <c r="W62" s="21">
        <v>9.6801667904160171E-2</v>
      </c>
      <c r="X62">
        <f t="shared" si="4"/>
        <v>7.5043062671425104E-2</v>
      </c>
    </row>
    <row r="63" spans="2:30" x14ac:dyDescent="0.2">
      <c r="B63" s="60">
        <v>7.5064846793815504E-2</v>
      </c>
      <c r="C63" s="61">
        <v>9.7681538301735635E-2</v>
      </c>
      <c r="D63">
        <v>1</v>
      </c>
      <c r="E63" s="60">
        <v>0.2296743702400148</v>
      </c>
      <c r="F63" s="61">
        <v>1.0000029073569814E-2</v>
      </c>
      <c r="G63" s="25">
        <v>1.0000059104883073E-2</v>
      </c>
      <c r="H63" s="25">
        <v>0.25032592683940774</v>
      </c>
      <c r="I63" s="25">
        <v>9.9999618156905543E-2</v>
      </c>
      <c r="J63" s="25">
        <v>0.24005443780684788</v>
      </c>
      <c r="K63" s="25">
        <v>1.0000004975551967E-2</v>
      </c>
      <c r="L63" s="25">
        <v>1.0000041621037237E-2</v>
      </c>
      <c r="M63" s="25">
        <v>0.12994545395693408</v>
      </c>
      <c r="N63" s="21">
        <v>1.0000058224848046E-2</v>
      </c>
      <c r="P63" s="27">
        <f t="array" ref="P63">SQRT(MMULT($E63:$N63,MMULT($G$5:$P$14,TRANSPOSE($E63:$N63))))-B63</f>
        <v>0</v>
      </c>
      <c r="Q63" s="27">
        <f t="shared" si="0"/>
        <v>0</v>
      </c>
      <c r="R63" s="27">
        <f t="array" ref="R63">SUM(IF($E63:$N63&lt;TRANSPOSE($D$5:$D$14),1,"-"))+SUM(IF($E63:$N63&gt;TRANSPOSE($E$5:$E$14),1,"-"))</f>
        <v>0</v>
      </c>
      <c r="S63" s="27">
        <f t="array" ref="S63">SUM(IF(MMULT($E63:$N63,$C$18:$F$27)&lt;$C$31:$F$31,1,"-"))+SUM(IF(MMULT($E63:$N63,$C$18:$F$27)&gt;$C$32:$F$32,1,"-"))</f>
        <v>0</v>
      </c>
      <c r="T63" s="27">
        <f t="shared" si="1"/>
        <v>1</v>
      </c>
      <c r="V63" s="20">
        <v>7.4189956344881916E-2</v>
      </c>
      <c r="W63" s="21">
        <v>9.7171631046636481E-2</v>
      </c>
      <c r="X63">
        <f t="shared" si="4"/>
        <v>7.5051817896497189E-2</v>
      </c>
    </row>
    <row r="64" spans="2:30" x14ac:dyDescent="0.2">
      <c r="B64" s="60">
        <v>7.5073649897465039E-2</v>
      </c>
      <c r="C64" s="61">
        <v>9.800276798623539E-2</v>
      </c>
      <c r="D64">
        <v>1</v>
      </c>
      <c r="E64" s="60">
        <v>0.23081681088612199</v>
      </c>
      <c r="F64" s="61">
        <v>1.0000054395996929E-2</v>
      </c>
      <c r="G64" s="25">
        <v>1.0000092691030403E-2</v>
      </c>
      <c r="H64" s="25">
        <v>0.24918431346107298</v>
      </c>
      <c r="I64" s="25">
        <v>9.9998735282072676E-2</v>
      </c>
      <c r="J64" s="25">
        <v>0.24391344308621452</v>
      </c>
      <c r="K64" s="25">
        <v>1.0000009910237868E-2</v>
      </c>
      <c r="L64" s="25">
        <v>1.0000080982250208E-2</v>
      </c>
      <c r="M64" s="25">
        <v>0.12608637365394576</v>
      </c>
      <c r="N64" s="21">
        <v>1.0000085651056662E-2</v>
      </c>
      <c r="P64" s="27">
        <f t="array" ref="P64">SQRT(MMULT($E64:$N64,MMULT($G$5:$P$14,TRANSPOSE($E64:$N64))))-B64</f>
        <v>0</v>
      </c>
      <c r="Q64" s="27">
        <f t="shared" si="0"/>
        <v>0</v>
      </c>
      <c r="R64" s="27">
        <f t="array" ref="R64">SUM(IF($E64:$N64&lt;TRANSPOSE($D$5:$D$14),1,"-"))+SUM(IF($E64:$N64&gt;TRANSPOSE($E$5:$E$14),1,"-"))</f>
        <v>0</v>
      </c>
      <c r="S64" s="27">
        <f t="array" ref="S64">SUM(IF(MMULT($E64:$N64,$C$18:$F$27)&lt;$C$31:$F$31,1,"-"))+SUM(IF(MMULT($E64:$N64,$C$18:$F$27)&gt;$C$32:$F$32,1,"-"))</f>
        <v>0</v>
      </c>
      <c r="T64" s="27">
        <f t="shared" si="1"/>
        <v>1.0000000000000002</v>
      </c>
      <c r="V64" s="20">
        <v>7.4201761592474519E-2</v>
      </c>
      <c r="W64" s="21">
        <v>9.754159418911279E-2</v>
      </c>
      <c r="X64">
        <f t="shared" si="4"/>
        <v>7.5061170622475207E-2</v>
      </c>
    </row>
    <row r="65" spans="2:24" x14ac:dyDescent="0.2">
      <c r="B65" s="60">
        <v>7.5082922108428915E-2</v>
      </c>
      <c r="C65" s="61">
        <v>9.832399767073538E-2</v>
      </c>
      <c r="D65">
        <v>1</v>
      </c>
      <c r="E65" s="60">
        <v>0.23195885026233085</v>
      </c>
      <c r="F65" s="61">
        <v>1.0000316050925873E-2</v>
      </c>
      <c r="G65" s="25">
        <v>1.000058893113971E-2</v>
      </c>
      <c r="H65" s="25">
        <v>0.24804271311986839</v>
      </c>
      <c r="I65" s="25">
        <v>9.9997569162816671E-2</v>
      </c>
      <c r="J65" s="25">
        <v>0.2477712264828299</v>
      </c>
      <c r="K65" s="25">
        <v>1.0000050288180606E-2</v>
      </c>
      <c r="L65" s="25">
        <v>1.0000761671407808E-2</v>
      </c>
      <c r="M65" s="25">
        <v>0.12222667742586553</v>
      </c>
      <c r="N65" s="21">
        <v>1.0001246604634733E-2</v>
      </c>
      <c r="P65" s="27">
        <f t="array" ref="P65">SQRT(MMULT($E65:$N65,MMULT($G$5:$P$14,TRANSPOSE($E65:$N65))))-B65</f>
        <v>0</v>
      </c>
      <c r="Q65" s="27">
        <f t="shared" si="0"/>
        <v>0</v>
      </c>
      <c r="R65" s="27">
        <f t="array" ref="R65">SUM(IF($E65:$N65&lt;TRANSPOSE($D$5:$D$14),1,"-"))+SUM(IF($E65:$N65&gt;TRANSPOSE($E$5:$E$14),1,"-"))</f>
        <v>0</v>
      </c>
      <c r="S65" s="27">
        <f t="array" ref="S65">SUM(IF(MMULT($E65:$N65,$C$18:$F$27)&lt;$C$31:$F$31,1,"-"))+SUM(IF(MMULT($E65:$N65,$C$18:$F$27)&gt;$C$32:$F$32,1,"-"))</f>
        <v>0</v>
      </c>
      <c r="T65" s="27">
        <f t="shared" si="1"/>
        <v>1.0000000000000002</v>
      </c>
      <c r="V65" s="20">
        <v>7.4214170212598476E-2</v>
      </c>
      <c r="W65" s="21">
        <v>9.7911557331589127E-2</v>
      </c>
      <c r="X65">
        <f t="shared" si="4"/>
        <v>7.5071120604260133E-2</v>
      </c>
    </row>
    <row r="66" spans="2:24" x14ac:dyDescent="0.2">
      <c r="B66" s="60">
        <v>7.5092600929885442E-2</v>
      </c>
      <c r="C66" s="61">
        <v>9.864522735523526E-2</v>
      </c>
      <c r="D66">
        <v>1</v>
      </c>
      <c r="E66" s="60">
        <v>0.23310161424527637</v>
      </c>
      <c r="F66" s="61">
        <v>1.0000065458995707E-2</v>
      </c>
      <c r="G66" s="25">
        <v>1.0000111513963236E-2</v>
      </c>
      <c r="H66" s="25">
        <v>0.2468999128798002</v>
      </c>
      <c r="I66" s="25">
        <v>9.9998304145498915E-2</v>
      </c>
      <c r="J66" s="25">
        <v>0.25163080844788166</v>
      </c>
      <c r="K66" s="25">
        <v>1.000001123355985E-2</v>
      </c>
      <c r="L66" s="25">
        <v>1.0000117176419993E-2</v>
      </c>
      <c r="M66" s="25">
        <v>0.1183689332045294</v>
      </c>
      <c r="N66" s="21">
        <v>1.0000121694074861E-2</v>
      </c>
      <c r="P66" s="27">
        <f t="array" ref="P66">SQRT(MMULT($E66:$N66,MMULT($G$5:$P$14,TRANSPOSE($E66:$N66))))-B66</f>
        <v>0</v>
      </c>
      <c r="Q66" s="27">
        <f t="shared" si="0"/>
        <v>0</v>
      </c>
      <c r="R66" s="27">
        <f t="array" ref="R66">SUM(IF($E66:$N66&lt;TRANSPOSE($D$5:$D$14),1,"-"))+SUM(IF($E66:$N66&gt;TRANSPOSE($E$5:$E$14),1,"-"))</f>
        <v>0</v>
      </c>
      <c r="S66" s="27">
        <f t="array" ref="S66">SUM(IF(MMULT($E66:$N66,$C$18:$F$27)&lt;$C$31:$F$31,1,"-"))+SUM(IF(MMULT($E66:$N66,$C$18:$F$27)&gt;$C$32:$F$32,1,"-"))</f>
        <v>0</v>
      </c>
      <c r="T66" s="27">
        <f t="shared" si="1"/>
        <v>1.0000000000000002</v>
      </c>
      <c r="V66" s="20">
        <v>7.4227181902648764E-2</v>
      </c>
      <c r="W66" s="21">
        <v>9.8281520474065465E-2</v>
      </c>
      <c r="X66">
        <f t="shared" si="4"/>
        <v>7.5081667584692618E-2</v>
      </c>
    </row>
    <row r="67" spans="2:24" x14ac:dyDescent="0.2">
      <c r="B67" s="60">
        <v>7.5102763944751474E-2</v>
      </c>
      <c r="C67" s="61">
        <v>9.8966457039735112E-2</v>
      </c>
      <c r="D67">
        <v>1</v>
      </c>
      <c r="E67" s="60">
        <v>0.2342436263482171</v>
      </c>
      <c r="F67" s="61">
        <v>1.0000148539866551E-2</v>
      </c>
      <c r="G67" s="25">
        <v>1.0000540525961478E-2</v>
      </c>
      <c r="H67" s="25">
        <v>0.24575728438541053</v>
      </c>
      <c r="I67" s="25">
        <v>9.9998416664899739E-2</v>
      </c>
      <c r="J67" s="25">
        <v>0.25548791589765885</v>
      </c>
      <c r="K67" s="25">
        <v>1.000002259722238E-2</v>
      </c>
      <c r="L67" s="25">
        <v>1.0000854305087552E-2</v>
      </c>
      <c r="M67" s="25">
        <v>0.11450988682719564</v>
      </c>
      <c r="N67" s="21">
        <v>1.0001303908480294E-2</v>
      </c>
      <c r="P67" s="27">
        <f t="array" ref="P67">SQRT(MMULT($E67:$N67,MMULT($G$5:$P$14,TRANSPOSE($E67:$N67))))-B67</f>
        <v>0</v>
      </c>
      <c r="Q67" s="27">
        <f t="shared" si="0"/>
        <v>0</v>
      </c>
      <c r="R67" s="27">
        <f t="array" ref="R67">SUM(IF($E67:$N67&lt;TRANSPOSE($D$5:$D$14),1,"-"))+SUM(IF($E67:$N67&gt;TRANSPOSE($E$5:$E$14),1,"-"))</f>
        <v>0</v>
      </c>
      <c r="S67" s="27">
        <f t="array" ref="S67">SUM(IF(MMULT($E67:$N67,$C$18:$F$27)&lt;$C$31:$F$31,1,"-"))+SUM(IF(MMULT($E67:$N67,$C$18:$F$27)&gt;$C$32:$F$32,1,"-"))</f>
        <v>0</v>
      </c>
      <c r="T67" s="27">
        <f t="shared" si="1"/>
        <v>1.0000000000000002</v>
      </c>
      <c r="V67" s="20">
        <v>7.4240796345550628E-2</v>
      </c>
      <c r="W67" s="21">
        <v>9.8651483616541732E-2</v>
      </c>
      <c r="X67">
        <f t="shared" si="4"/>
        <v>7.5092811267715692E-2</v>
      </c>
    </row>
    <row r="68" spans="2:24" x14ac:dyDescent="0.2">
      <c r="B68" s="60">
        <v>7.5113350189797562E-2</v>
      </c>
      <c r="C68" s="61">
        <v>9.9287686724235005E-2</v>
      </c>
      <c r="D68">
        <v>1</v>
      </c>
      <c r="E68" s="60">
        <v>0.23538622355393177</v>
      </c>
      <c r="F68" s="61">
        <v>1.0000104869248261E-2</v>
      </c>
      <c r="G68" s="25">
        <v>1.0000293044260903E-2</v>
      </c>
      <c r="H68" s="25">
        <v>0.24461432127441149</v>
      </c>
      <c r="I68" s="25">
        <v>9.9999069276772615E-2</v>
      </c>
      <c r="J68" s="25">
        <v>0.25934711614879319</v>
      </c>
      <c r="K68" s="25">
        <v>1.0000016048518214E-2</v>
      </c>
      <c r="L68" s="25">
        <v>1.0000147781799685E-2</v>
      </c>
      <c r="M68" s="25">
        <v>0.11065223596078674</v>
      </c>
      <c r="N68" s="21">
        <v>1.0000472041477177E-2</v>
      </c>
      <c r="P68" s="27">
        <f t="array" ref="P68">SQRT(MMULT($E68:$N68,MMULT($G$5:$P$14,TRANSPOSE($E68:$N68))))-B68</f>
        <v>0</v>
      </c>
      <c r="Q68" s="27">
        <f t="shared" si="0"/>
        <v>0</v>
      </c>
      <c r="R68" s="27">
        <f t="array" ref="R68">SUM(IF($E68:$N68&lt;TRANSPOSE($D$5:$D$14),1,"-"))+SUM(IF($E68:$N68&gt;TRANSPOSE($E$5:$E$14),1,"-"))</f>
        <v>0</v>
      </c>
      <c r="S68" s="27">
        <f t="array" ref="S68">SUM(IF(MMULT($E68:$N68,$C$18:$F$27)&lt;$C$31:$F$31,1,"-"))+SUM(IF(MMULT($E68:$N68,$C$18:$F$27)&gt;$C$32:$F$32,1,"-"))</f>
        <v>0</v>
      </c>
      <c r="T68" s="27">
        <f t="shared" si="1"/>
        <v>1.0000000000000002</v>
      </c>
      <c r="V68" s="20">
        <v>7.4255013209758289E-2</v>
      </c>
      <c r="W68" s="21">
        <v>9.9021446759018111E-2</v>
      </c>
      <c r="X68">
        <f t="shared" si="4"/>
        <v>7.5104551514825937E-2</v>
      </c>
    </row>
    <row r="69" spans="2:24" x14ac:dyDescent="0.2">
      <c r="B69" s="60">
        <v>7.5124399716933826E-2</v>
      </c>
      <c r="C69" s="61">
        <v>9.9608916408734885E-2</v>
      </c>
      <c r="D69">
        <v>1</v>
      </c>
      <c r="E69" s="60">
        <v>0.236528102945612</v>
      </c>
      <c r="F69" s="61">
        <v>1.0000106804728896E-2</v>
      </c>
      <c r="G69" s="25">
        <v>1.0000455159885737E-2</v>
      </c>
      <c r="H69" s="25">
        <v>0.24347152250452964</v>
      </c>
      <c r="I69" s="25">
        <v>9.999981438820342E-2</v>
      </c>
      <c r="J69" s="25">
        <v>0.26320351528465596</v>
      </c>
      <c r="K69" s="25">
        <v>1.0000003018031365E-2</v>
      </c>
      <c r="L69" s="25">
        <v>1.0000068234754769E-2</v>
      </c>
      <c r="M69" s="25">
        <v>0.10679423708024181</v>
      </c>
      <c r="N69" s="21">
        <v>1.0002174579356447E-2</v>
      </c>
      <c r="P69" s="27">
        <f t="array" ref="P69">SQRT(MMULT($E69:$N69,MMULT($G$5:$P$14,TRANSPOSE($E69:$N69))))-B69</f>
        <v>0</v>
      </c>
      <c r="Q69" s="27">
        <f t="shared" si="0"/>
        <v>0</v>
      </c>
      <c r="R69" s="27">
        <f t="array" ref="R69">SUM(IF($E69:$N69&lt;TRANSPOSE($D$5:$D$14),1,"-"))+SUM(IF($E69:$N69&gt;TRANSPOSE($E$5:$E$14),1,"-"))</f>
        <v>0</v>
      </c>
      <c r="S69" s="27">
        <f t="array" ref="S69">SUM(IF(MMULT($E69:$N69,$C$18:$F$27)&lt;$C$31:$F$31,1,"-"))+SUM(IF(MMULT($E69:$N69,$C$18:$F$27)&gt;$C$32:$F$32,1,"-"))</f>
        <v>0</v>
      </c>
      <c r="T69" s="27">
        <f t="shared" si="1"/>
        <v>1</v>
      </c>
      <c r="V69" s="20">
        <v>7.4269832149322021E-2</v>
      </c>
      <c r="W69" s="21">
        <v>9.9391409901494407E-2</v>
      </c>
      <c r="X69">
        <f t="shared" si="4"/>
        <v>7.5116889216400862E-2</v>
      </c>
    </row>
    <row r="70" spans="2:24" x14ac:dyDescent="0.2">
      <c r="B70" s="60">
        <v>7.5135885408977976E-2</v>
      </c>
      <c r="C70" s="61">
        <v>9.9930146093234265E-2</v>
      </c>
      <c r="D70">
        <v>1</v>
      </c>
      <c r="E70" s="60">
        <v>0.23767110270853969</v>
      </c>
      <c r="F70" s="61">
        <v>1.000000153609314E-2</v>
      </c>
      <c r="G70" s="25">
        <v>1.0000003069955216E-2</v>
      </c>
      <c r="H70" s="25">
        <v>0.24232890950420016</v>
      </c>
      <c r="I70" s="25">
        <v>9.9999983487636793E-2</v>
      </c>
      <c r="J70" s="25">
        <v>0.26706449856252479</v>
      </c>
      <c r="K70" s="25">
        <v>1.0000000285462191E-2</v>
      </c>
      <c r="L70" s="25">
        <v>1.0000001931353739E-2</v>
      </c>
      <c r="M70" s="25">
        <v>0.10293548916417296</v>
      </c>
      <c r="N70" s="21">
        <v>1.0000009750061548E-2</v>
      </c>
      <c r="P70" s="27">
        <f t="array" ref="P70">SQRT(MMULT($E70:$N70,MMULT($G$5:$P$14,TRANSPOSE($E70:$N70))))-B70</f>
        <v>0</v>
      </c>
      <c r="Q70" s="27">
        <f t="shared" si="0"/>
        <v>0</v>
      </c>
      <c r="R70" s="27">
        <f t="array" ref="R70">SUM(IF($E70:$N70&lt;TRANSPOSE($D$5:$D$14),1,"-"))+SUM(IF($E70:$N70&gt;TRANSPOSE($E$5:$E$14),1,"-"))</f>
        <v>0</v>
      </c>
      <c r="S70" s="27">
        <f t="array" ref="S70">SUM(IF(MMULT($E70:$N70,$C$18:$F$27)&lt;$C$31:$F$31,1,"-"))+SUM(IF(MMULT($E70:$N70,$C$18:$F$27)&gt;$C$32:$F$32,1,"-"))</f>
        <v>0</v>
      </c>
      <c r="T70" s="27">
        <f t="shared" si="1"/>
        <v>1.0000000000000004</v>
      </c>
      <c r="V70" s="20">
        <v>7.4285252803923271E-2</v>
      </c>
      <c r="W70" s="21">
        <v>9.976137304397073E-2</v>
      </c>
      <c r="X70">
        <f t="shared" si="4"/>
        <v>7.512982326142445E-2</v>
      </c>
    </row>
    <row r="71" spans="2:24" x14ac:dyDescent="0.2">
      <c r="B71" s="60">
        <v>7.5147832040796614E-2</v>
      </c>
      <c r="C71" s="61">
        <v>0.10025137577773467</v>
      </c>
      <c r="D71">
        <v>1</v>
      </c>
      <c r="E71" s="60">
        <v>0.23881349154789314</v>
      </c>
      <c r="F71" s="61">
        <v>1.0000007588295081E-2</v>
      </c>
      <c r="G71" s="25">
        <v>1.0000005323002702E-2</v>
      </c>
      <c r="H71" s="25">
        <v>0.24118669727615852</v>
      </c>
      <c r="I71" s="25">
        <v>9.9999799022997257E-2</v>
      </c>
      <c r="J71" s="25">
        <v>0.2709231442452259</v>
      </c>
      <c r="K71" s="25">
        <v>1.000000106485221E-2</v>
      </c>
      <c r="L71" s="25">
        <v>1.0000012663494755E-2</v>
      </c>
      <c r="M71" s="25">
        <v>9.9076784288946798E-2</v>
      </c>
      <c r="N71" s="21">
        <v>1.0000056979133622E-2</v>
      </c>
      <c r="P71" s="27">
        <f t="array" ref="P71">SQRT(MMULT($E71:$N71,MMULT($G$5:$P$14,TRANSPOSE($E71:$N71))))-B71</f>
        <v>0</v>
      </c>
      <c r="Q71" s="27">
        <f t="shared" si="0"/>
        <v>0</v>
      </c>
      <c r="R71" s="27">
        <f t="array" ref="R71">SUM(IF($E71:$N71&lt;TRANSPOSE($D$5:$D$14),1,"-"))+SUM(IF($E71:$N71&gt;TRANSPOSE($E$5:$E$14),1,"-"))</f>
        <v>0</v>
      </c>
      <c r="S71" s="27">
        <f t="array" ref="S71">SUM(IF(MMULT($E71:$N71,$C$18:$F$27)&lt;$C$31:$F$31,1,"-"))+SUM(IF(MMULT($E71:$N71,$C$18:$F$27)&gt;$C$32:$F$32,1,"-"))</f>
        <v>0</v>
      </c>
      <c r="T71" s="27">
        <f t="shared" si="1"/>
        <v>1</v>
      </c>
      <c r="V71" s="20">
        <v>7.430127479891814E-2</v>
      </c>
      <c r="W71" s="21">
        <v>0.10013133618644705</v>
      </c>
      <c r="X71">
        <f t="shared" si="4"/>
        <v>7.5143353510231048E-2</v>
      </c>
    </row>
    <row r="72" spans="2:24" x14ac:dyDescent="0.2">
      <c r="B72" s="60">
        <v>7.5160359762873441E-2</v>
      </c>
      <c r="C72" s="61">
        <v>0.10057260546222643</v>
      </c>
      <c r="D72">
        <v>1</v>
      </c>
      <c r="E72" s="60">
        <v>0.23994873135780354</v>
      </c>
      <c r="F72" s="61">
        <v>1.0002739976320108E-2</v>
      </c>
      <c r="G72" s="25">
        <v>1.0000358241745918E-2</v>
      </c>
      <c r="H72" s="25">
        <v>0.24005094583746728</v>
      </c>
      <c r="I72" s="25">
        <v>9.9997312941752667E-2</v>
      </c>
      <c r="J72" s="25">
        <v>0.27475327663585902</v>
      </c>
      <c r="K72" s="25">
        <v>1.0000211468476142E-2</v>
      </c>
      <c r="L72" s="25">
        <v>1.0000511749229696E-2</v>
      </c>
      <c r="M72" s="25">
        <v>9.5215579524157379E-2</v>
      </c>
      <c r="N72" s="21">
        <v>1.0030332267188316E-2</v>
      </c>
      <c r="P72" s="27">
        <f t="array" ref="P72">SQRT(MMULT($E72:$N72,MMULT($G$5:$P$14,TRANSPOSE($E72:$N72))))-B72</f>
        <v>0</v>
      </c>
      <c r="Q72" s="27">
        <f t="shared" si="0"/>
        <v>0</v>
      </c>
      <c r="R72" s="27">
        <f t="array" ref="R72">SUM(IF($E72:$N72&lt;TRANSPOSE($D$5:$D$14),1,"-"))+SUM(IF($E72:$N72&gt;TRANSPOSE($E$5:$E$14),1,"-"))</f>
        <v>0</v>
      </c>
      <c r="S72" s="27">
        <f t="array" ref="S72">SUM(IF(MMULT($E72:$N72,$C$18:$F$27)&lt;$C$31:$F$31,1,"-"))+SUM(IF(MMULT($E72:$N72,$C$18:$F$27)&gt;$C$32:$F$32,1,"-"))</f>
        <v>0</v>
      </c>
      <c r="T72" s="27">
        <f t="shared" si="1"/>
        <v>1.0000000000000002</v>
      </c>
      <c r="V72" s="20">
        <v>7.431789774538268E-2</v>
      </c>
      <c r="W72" s="21">
        <v>0.10050129932892336</v>
      </c>
      <c r="X72">
        <f t="shared" si="4"/>
        <v>7.5157479907131938E-2</v>
      </c>
    </row>
    <row r="73" spans="2:24" x14ac:dyDescent="0.2">
      <c r="B73" s="60">
        <v>7.5173080053308708E-2</v>
      </c>
      <c r="C73" s="61">
        <v>0.1008938351467344</v>
      </c>
      <c r="D73">
        <v>1</v>
      </c>
      <c r="E73" s="60">
        <v>0.24109688441953409</v>
      </c>
      <c r="F73" s="61">
        <v>1.0000061835637552E-2</v>
      </c>
      <c r="G73" s="25">
        <v>1.0000042691852807E-2</v>
      </c>
      <c r="H73" s="25">
        <v>0.23890305013214816</v>
      </c>
      <c r="I73" s="25">
        <v>9.999996574753986E-2</v>
      </c>
      <c r="J73" s="25">
        <v>0.27863670677705471</v>
      </c>
      <c r="K73" s="25">
        <v>1.0000006704970329E-2</v>
      </c>
      <c r="L73" s="25">
        <v>1.0000109303915587E-2</v>
      </c>
      <c r="M73" s="25">
        <v>9.1359291327465925E-2</v>
      </c>
      <c r="N73" s="21">
        <v>1.0003881059880945E-2</v>
      </c>
      <c r="P73" s="27">
        <f t="array" ref="P73">SQRT(MMULT($E73:$N73,MMULT($G$5:$P$14,TRANSPOSE($E73:$N73))))-B73</f>
        <v>0</v>
      </c>
      <c r="Q73" s="27">
        <f t="shared" si="0"/>
        <v>0</v>
      </c>
      <c r="R73" s="27">
        <f t="array" ref="R73">SUM(IF($E73:$N73&lt;TRANSPOSE($D$5:$D$14),1,"-"))+SUM(IF($E73:$N73&gt;TRANSPOSE($E$5:$E$14),1,"-"))</f>
        <v>0</v>
      </c>
      <c r="S73" s="27">
        <f t="array" ref="S73">SUM(IF(MMULT($E73:$N73,$C$18:$F$27)&lt;$C$31:$F$31,1,"-"))+SUM(IF(MMULT($E73:$N73,$C$18:$F$27)&gt;$C$32:$F$32,1,"-"))</f>
        <v>0</v>
      </c>
      <c r="T73" s="27">
        <f t="shared" si="1"/>
        <v>1</v>
      </c>
      <c r="V73" s="20">
        <v>7.4335121240159618E-2</v>
      </c>
      <c r="W73" s="21">
        <v>0.10087126247139967</v>
      </c>
      <c r="X73">
        <f t="shared" si="4"/>
        <v>7.5172202365201404E-2</v>
      </c>
    </row>
    <row r="74" spans="2:24" x14ac:dyDescent="0.2">
      <c r="B74" s="60">
        <v>7.5186367379524249E-2</v>
      </c>
      <c r="C74" s="61">
        <v>0.10121506483123424</v>
      </c>
      <c r="D74">
        <v>1</v>
      </c>
      <c r="E74" s="60">
        <v>0.24223976335046782</v>
      </c>
      <c r="F74" s="61">
        <v>1.0000061947682673E-2</v>
      </c>
      <c r="G74" s="25">
        <v>1.0000077676968483E-2</v>
      </c>
      <c r="H74" s="25">
        <v>0.23776013535710971</v>
      </c>
      <c r="I74" s="25">
        <v>9.9999965166208196E-2</v>
      </c>
      <c r="J74" s="25">
        <v>0.28249653180426448</v>
      </c>
      <c r="K74" s="25">
        <v>1.0000004086588436E-2</v>
      </c>
      <c r="L74" s="25">
        <v>1.000009184711881E-2</v>
      </c>
      <c r="M74" s="25">
        <v>8.7500857506618998E-2</v>
      </c>
      <c r="N74" s="21">
        <v>1.000251125697235E-2</v>
      </c>
      <c r="P74" s="27">
        <f t="array" ref="P74">SQRT(MMULT($E74:$N74,MMULT($G$5:$P$14,TRANSPOSE($E74:$N74))))-B74</f>
        <v>0</v>
      </c>
      <c r="Q74" s="27">
        <f t="shared" si="0"/>
        <v>0</v>
      </c>
      <c r="R74" s="27">
        <f t="array" ref="R74">SUM(IF($E74:$N74&lt;TRANSPOSE($D$5:$D$14),1,"-"))+SUM(IF($E74:$N74&gt;TRANSPOSE($E$5:$E$14),1,"-"))</f>
        <v>0</v>
      </c>
      <c r="S74" s="27">
        <f t="array" ref="S74">SUM(IF(MMULT($E74:$N74,$C$18:$F$27)&lt;$C$31:$F$31,1,"-"))+SUM(IF(MMULT($E74:$N74,$C$18:$F$27)&gt;$C$32:$F$32,1,"-"))</f>
        <v>0</v>
      </c>
      <c r="T74" s="27">
        <f t="shared" si="1"/>
        <v>1</v>
      </c>
      <c r="V74" s="20">
        <v>7.4352944865907059E-2</v>
      </c>
      <c r="W74" s="21">
        <v>0.10124122561387601</v>
      </c>
      <c r="X74">
        <f t="shared" si="4"/>
        <v>7.5187520689177764E-2</v>
      </c>
    </row>
    <row r="75" spans="2:24" x14ac:dyDescent="0.2">
      <c r="B75" s="60">
        <v>7.5200158512249163E-2</v>
      </c>
      <c r="C75" s="61">
        <v>0.10153629451573389</v>
      </c>
      <c r="D75">
        <v>1</v>
      </c>
      <c r="E75" s="60">
        <v>0.24338249224076094</v>
      </c>
      <c r="F75" s="61">
        <v>1.0000836145812908E-2</v>
      </c>
      <c r="G75" s="25">
        <v>1.0001354201012912E-2</v>
      </c>
      <c r="H75" s="25">
        <v>0.23662027014828793</v>
      </c>
      <c r="I75" s="25">
        <v>9.9995133224835775E-2</v>
      </c>
      <c r="J75" s="25">
        <v>0.28635583230725531</v>
      </c>
      <c r="K75" s="25">
        <v>1.00001147937897E-2</v>
      </c>
      <c r="L75" s="25">
        <v>1.0001228630269735E-2</v>
      </c>
      <c r="M75" s="25">
        <v>8.3639472503433204E-2</v>
      </c>
      <c r="N75" s="21">
        <v>1.0003265804541589E-2</v>
      </c>
      <c r="P75" s="27">
        <f t="array" ref="P75">SQRT(MMULT($E75:$N75,MMULT($G$5:$P$14,TRANSPOSE($E75:$N75))))-B75</f>
        <v>0</v>
      </c>
      <c r="Q75" s="27">
        <f t="shared" si="0"/>
        <v>0</v>
      </c>
      <c r="R75" s="27">
        <f t="array" ref="R75">SUM(IF($E75:$N75&lt;TRANSPOSE($D$5:$D$14),1,"-"))+SUM(IF($E75:$N75&gt;TRANSPOSE($E$5:$E$14),1,"-"))</f>
        <v>0</v>
      </c>
      <c r="S75" s="27">
        <f t="array" ref="S75">SUM(IF(MMULT($E75:$N75,$C$18:$F$27)&lt;$C$31:$F$31,1,"-"))+SUM(IF(MMULT($E75:$N75,$C$18:$F$27)&gt;$C$32:$F$32,1,"-"))</f>
        <v>0</v>
      </c>
      <c r="T75" s="27">
        <f t="shared" si="1"/>
        <v>0.99999999999999989</v>
      </c>
      <c r="V75" s="20">
        <v>7.4371368191143095E-2</v>
      </c>
      <c r="W75" s="21">
        <v>0.10161118875635235</v>
      </c>
      <c r="X75">
        <f t="shared" si="4"/>
        <v>7.5203435744625874E-2</v>
      </c>
    </row>
    <row r="76" spans="2:24" x14ac:dyDescent="0.2">
      <c r="B76" s="60">
        <v>7.5214388214023195E-2</v>
      </c>
      <c r="C76" s="61">
        <v>0.10185752420023386</v>
      </c>
      <c r="D76">
        <v>1</v>
      </c>
      <c r="E76" s="60">
        <v>0.24452323619663188</v>
      </c>
      <c r="F76" s="61">
        <v>1.0000637325123879E-2</v>
      </c>
      <c r="G76" s="25">
        <v>1.0000484445920575E-2</v>
      </c>
      <c r="H76" s="25">
        <v>0.23549573196872103</v>
      </c>
      <c r="I76" s="25">
        <v>9.9979944581443686E-2</v>
      </c>
      <c r="J76" s="25">
        <v>0.29021489677082718</v>
      </c>
      <c r="K76" s="25">
        <v>1.0000063125007203E-2</v>
      </c>
      <c r="L76" s="25">
        <v>1.0000645222517531E-2</v>
      </c>
      <c r="M76" s="25">
        <v>7.9772501923491251E-2</v>
      </c>
      <c r="N76" s="21">
        <v>1.0011858440315812E-2</v>
      </c>
      <c r="P76" s="27">
        <f t="array" ref="P76">SQRT(MMULT($E76:$N76,MMULT($G$5:$P$14,TRANSPOSE($E76:$N76))))-B76</f>
        <v>0</v>
      </c>
      <c r="Q76" s="27">
        <f t="shared" si="0"/>
        <v>0</v>
      </c>
      <c r="R76" s="27">
        <f t="array" ref="R76">SUM(IF($E76:$N76&lt;TRANSPOSE($D$5:$D$14),1,"-"))+SUM(IF($E76:$N76&gt;TRANSPOSE($E$5:$E$14),1,"-"))</f>
        <v>0</v>
      </c>
      <c r="S76" s="27">
        <f t="array" ref="S76">SUM(IF(MMULT($E76:$N76,$C$18:$F$27)&lt;$C$31:$F$31,1,"-"))+SUM(IF(MMULT($E76:$N76,$C$18:$F$27)&gt;$C$32:$F$32,1,"-"))</f>
        <v>0</v>
      </c>
      <c r="T76" s="27">
        <f t="shared" si="1"/>
        <v>1</v>
      </c>
      <c r="V76" s="20">
        <v>7.4390390770355599E-2</v>
      </c>
      <c r="W76" s="21">
        <v>0.10198115189882866</v>
      </c>
      <c r="X76">
        <f t="shared" si="4"/>
        <v>7.5219948298213532E-2</v>
      </c>
    </row>
    <row r="77" spans="2:24" x14ac:dyDescent="0.2">
      <c r="B77" s="60">
        <v>7.5228923675020154E-2</v>
      </c>
      <c r="C77" s="61">
        <v>0.10217875388473385</v>
      </c>
      <c r="D77">
        <v>1</v>
      </c>
      <c r="E77" s="60">
        <v>0.24566735259427069</v>
      </c>
      <c r="F77" s="61">
        <v>1.0000034647711152E-2</v>
      </c>
      <c r="G77" s="25">
        <v>1.0000071584446881E-2</v>
      </c>
      <c r="H77" s="25">
        <v>0.23433257362465848</v>
      </c>
      <c r="I77" s="25">
        <v>9.9999969776853978E-2</v>
      </c>
      <c r="J77" s="25">
        <v>0.2940732626083275</v>
      </c>
      <c r="K77" s="25">
        <v>1.0000002661123967E-2</v>
      </c>
      <c r="L77" s="25">
        <v>1.0000047452295451E-2</v>
      </c>
      <c r="M77" s="25">
        <v>7.5925226818083752E-2</v>
      </c>
      <c r="N77" s="21">
        <v>1.0001458232228148E-2</v>
      </c>
      <c r="P77" s="27">
        <f t="array" ref="P77">SQRT(MMULT($E77:$N77,MMULT($G$5:$P$14,TRANSPOSE($E77:$N77))))-B77</f>
        <v>0</v>
      </c>
      <c r="Q77" s="27">
        <f t="shared" si="0"/>
        <v>0</v>
      </c>
      <c r="R77" s="27">
        <f t="array" ref="R77">SUM(IF($E77:$N77&lt;TRANSPOSE($D$5:$D$14),1,"-"))+SUM(IF($E77:$N77&gt;TRANSPOSE($E$5:$E$14),1,"-"))</f>
        <v>0</v>
      </c>
      <c r="S77" s="27">
        <f t="array" ref="S77">SUM(IF(MMULT($E77:$N77,$C$18:$F$27)&lt;$C$31:$F$31,1,"-"))+SUM(IF(MMULT($E77:$N77,$C$18:$F$27)&gt;$C$32:$F$32,1,"-"))</f>
        <v>0</v>
      </c>
      <c r="T77" s="27">
        <f t="shared" si="1"/>
        <v>1</v>
      </c>
      <c r="V77" s="20">
        <v>7.4410012143901805E-2</v>
      </c>
      <c r="W77" s="21">
        <v>0.10235111504130498</v>
      </c>
      <c r="X77">
        <f t="shared" si="4"/>
        <v>7.5237059503375836E-2</v>
      </c>
    </row>
    <row r="78" spans="2:24" x14ac:dyDescent="0.2">
      <c r="B78" s="60">
        <v>7.5244038000628399E-2</v>
      </c>
      <c r="C78" s="61">
        <v>0.10249998356923376</v>
      </c>
      <c r="D78">
        <v>1</v>
      </c>
      <c r="E78" s="60">
        <v>0.24680501553532846</v>
      </c>
      <c r="F78" s="61">
        <v>1.0000351933681716E-2</v>
      </c>
      <c r="G78" s="25">
        <v>1.0000056186297235E-2</v>
      </c>
      <c r="H78" s="25">
        <v>0.23319474313833649</v>
      </c>
      <c r="I78" s="25">
        <v>9.9999841785213817E-2</v>
      </c>
      <c r="J78" s="25">
        <v>0.29791950809076789</v>
      </c>
      <c r="K78" s="25">
        <v>1.0000014236010062E-2</v>
      </c>
      <c r="L78" s="25">
        <v>1.0000746982880051E-2</v>
      </c>
      <c r="M78" s="25">
        <v>7.2064738664019717E-2</v>
      </c>
      <c r="N78" s="21">
        <v>1.0014983447464616E-2</v>
      </c>
      <c r="P78" s="27">
        <f t="array" ref="P78">SQRT(MMULT($E78:$N78,MMULT($G$5:$P$14,TRANSPOSE($E78:$N78))))-B78</f>
        <v>0</v>
      </c>
      <c r="Q78" s="27">
        <f t="shared" si="0"/>
        <v>0</v>
      </c>
      <c r="R78" s="27">
        <f t="array" ref="R78">SUM(IF($E78:$N78&lt;TRANSPOSE($D$5:$D$14),1,"-"))+SUM(IF($E78:$N78&gt;TRANSPOSE($E$5:$E$14),1,"-"))</f>
        <v>0</v>
      </c>
      <c r="S78" s="27">
        <f t="array" ref="S78">SUM(IF(MMULT($E78:$N78,$C$18:$F$27)&lt;$C$31:$F$31,1,"-"))+SUM(IF(MMULT($E78:$N78,$C$18:$F$27)&gt;$C$32:$F$32,1,"-"))</f>
        <v>0</v>
      </c>
      <c r="T78" s="27">
        <f t="shared" si="1"/>
        <v>1</v>
      </c>
      <c r="V78" s="20">
        <v>7.4430220110331957E-2</v>
      </c>
      <c r="W78" s="21">
        <v>0.10272107818378132</v>
      </c>
      <c r="X78">
        <f t="shared" si="4"/>
        <v>7.5254770947815658E-2</v>
      </c>
    </row>
    <row r="79" spans="2:24" x14ac:dyDescent="0.2">
      <c r="B79" s="60">
        <v>7.5259538795007089E-2</v>
      </c>
      <c r="C79" s="61">
        <v>0.10282121325373364</v>
      </c>
      <c r="D79">
        <v>1</v>
      </c>
      <c r="E79" s="60">
        <v>0.24795111350394194</v>
      </c>
      <c r="F79" s="61">
        <v>1.0000062241673416E-2</v>
      </c>
      <c r="G79" s="25">
        <v>1.0000103507977776E-2</v>
      </c>
      <c r="H79" s="25">
        <v>0.23204875480609718</v>
      </c>
      <c r="I79" s="25">
        <v>9.9999969651359877E-2</v>
      </c>
      <c r="J79" s="25">
        <v>0.30178774283465298</v>
      </c>
      <c r="K79" s="25">
        <v>1.0000004571183673E-2</v>
      </c>
      <c r="L79" s="25">
        <v>1.0000091186693559E-2</v>
      </c>
      <c r="M79" s="25">
        <v>6.8207795855803846E-2</v>
      </c>
      <c r="N79" s="21">
        <v>1.0004361840615783E-2</v>
      </c>
      <c r="P79" s="27">
        <f t="array" ref="P79">SQRT(MMULT($E79:$N79,MMULT($G$5:$P$14,TRANSPOSE($E79:$N79))))-B79</f>
        <v>0</v>
      </c>
      <c r="Q79" s="27">
        <f t="shared" si="0"/>
        <v>0</v>
      </c>
      <c r="R79" s="27">
        <f t="array" ref="R79">SUM(IF($E79:$N79&lt;TRANSPOSE($D$5:$D$14),1,"-"))+SUM(IF($E79:$N79&gt;TRANSPOSE($E$5:$E$14),1,"-"))</f>
        <v>0</v>
      </c>
      <c r="S79" s="27">
        <f t="array" ref="S79">SUM(IF(MMULT($E79:$N79,$C$18:$F$27)&lt;$C$31:$F$31,1,"-"))+SUM(IF(MMULT($E79:$N79,$C$18:$F$27)&gt;$C$32:$F$32,1,"-"))</f>
        <v>0</v>
      </c>
      <c r="T79" s="27">
        <f t="shared" si="1"/>
        <v>1</v>
      </c>
      <c r="V79" s="20">
        <v>7.4450816997696248E-2</v>
      </c>
      <c r="W79" s="21">
        <v>0.10309104132625763</v>
      </c>
      <c r="X79">
        <f t="shared" si="4"/>
        <v>7.5273084472104707E-2</v>
      </c>
    </row>
    <row r="80" spans="2:24" x14ac:dyDescent="0.2">
      <c r="B80" s="60">
        <v>7.5275510125980258E-2</v>
      </c>
      <c r="C80" s="61">
        <v>0.10314244293823355</v>
      </c>
      <c r="D80">
        <v>1</v>
      </c>
      <c r="E80" s="60">
        <v>0.24909427069215812</v>
      </c>
      <c r="F80" s="61">
        <v>1.0000049797323917E-2</v>
      </c>
      <c r="G80" s="25">
        <v>1.0000025383095194E-2</v>
      </c>
      <c r="H80" s="25">
        <v>0.23090601276885003</v>
      </c>
      <c r="I80" s="25">
        <v>9.9999643275167346E-2</v>
      </c>
      <c r="J80" s="25">
        <v>0.3056487069472682</v>
      </c>
      <c r="K80" s="25">
        <v>1.0000002731497204E-2</v>
      </c>
      <c r="L80" s="25">
        <v>1.0000092032868618E-2</v>
      </c>
      <c r="M80" s="25">
        <v>6.4349104522138684E-2</v>
      </c>
      <c r="N80" s="21">
        <v>1.0002091849632768E-2</v>
      </c>
      <c r="P80" s="27">
        <f t="array" ref="P80">SQRT(MMULT($E80:$N80,MMULT($G$5:$P$14,TRANSPOSE($E80:$N80))))-B80</f>
        <v>0</v>
      </c>
      <c r="Q80" s="27">
        <f t="shared" si="0"/>
        <v>0</v>
      </c>
      <c r="R80" s="27">
        <f t="array" ref="R80">SUM(IF($E80:$N80&lt;TRANSPOSE($D$5:$D$14),1,"-"))+SUM(IF($E80:$N80&gt;TRANSPOSE($E$5:$E$14),1,"-"))</f>
        <v>0</v>
      </c>
      <c r="S80" s="27">
        <f t="array" ref="S80">SUM(IF(MMULT($E80:$N80,$C$18:$F$27)&lt;$C$31:$F$31,1,"-"))+SUM(IF(MMULT($E80:$N80,$C$18:$F$27)&gt;$C$32:$F$32,1,"-"))</f>
        <v>0</v>
      </c>
      <c r="T80" s="27">
        <f t="shared" si="1"/>
        <v>1.0000000000000002</v>
      </c>
      <c r="V80" s="20">
        <v>7.4471732020234063E-2</v>
      </c>
      <c r="W80" s="21">
        <v>0.10346100446873394</v>
      </c>
      <c r="X80">
        <f t="shared" si="4"/>
        <v>7.5292001982869006E-2</v>
      </c>
    </row>
    <row r="81" spans="2:24" x14ac:dyDescent="0.2">
      <c r="B81" s="60">
        <v>7.5291946106745763E-2</v>
      </c>
      <c r="C81" s="61">
        <v>0.10346367262273339</v>
      </c>
      <c r="D81">
        <v>1</v>
      </c>
      <c r="E81" s="60">
        <v>0.25023535509446648</v>
      </c>
      <c r="F81" s="61">
        <v>1.0000178693629423E-2</v>
      </c>
      <c r="G81" s="25">
        <v>1.0000578965096617E-2</v>
      </c>
      <c r="H81" s="25">
        <v>0.22976503155462122</v>
      </c>
      <c r="I81" s="25">
        <v>9.9998866616816506E-2</v>
      </c>
      <c r="J81" s="25">
        <v>0.30950517644503911</v>
      </c>
      <c r="K81" s="25">
        <v>1.0000016850275011E-2</v>
      </c>
      <c r="L81" s="25">
        <v>1.0000496005280907E-2</v>
      </c>
      <c r="M81" s="25">
        <v>6.0489693956150774E-2</v>
      </c>
      <c r="N81" s="21">
        <v>1.0004605818623929E-2</v>
      </c>
      <c r="P81" s="27">
        <f t="array" ref="P81">SQRT(MMULT($E81:$N81,MMULT($G$5:$P$14,TRANSPOSE($E81:$N81))))-B81</f>
        <v>0</v>
      </c>
      <c r="Q81" s="27">
        <f t="shared" si="0"/>
        <v>0</v>
      </c>
      <c r="R81" s="27">
        <f t="array" ref="R81">SUM(IF($E81:$N81&lt;TRANSPOSE($D$5:$D$14),1,"-"))+SUM(IF($E81:$N81&gt;TRANSPOSE($E$5:$E$14),1,"-"))</f>
        <v>0</v>
      </c>
      <c r="S81" s="27">
        <f t="array" ref="S81">SUM(IF(MMULT($E81:$N81,$C$18:$F$27)&lt;$C$31:$F$31,1,"-"))+SUM(IF(MMULT($E81:$N81,$C$18:$F$27)&gt;$C$32:$F$32,1,"-"))</f>
        <v>0</v>
      </c>
      <c r="T81" s="27">
        <f t="shared" si="1"/>
        <v>0.99999999999999989</v>
      </c>
      <c r="V81" s="20">
        <v>7.4492964909829096E-2</v>
      </c>
      <c r="W81" s="21">
        <v>0.10383096761121025</v>
      </c>
      <c r="X81">
        <f t="shared" si="4"/>
        <v>7.5311524899197443E-2</v>
      </c>
    </row>
    <row r="82" spans="2:24" x14ac:dyDescent="0.2">
      <c r="B82" s="60">
        <v>7.530882856393703E-2</v>
      </c>
      <c r="C82" s="61">
        <v>0.10378490230723329</v>
      </c>
      <c r="D82">
        <v>1</v>
      </c>
      <c r="E82" s="60">
        <v>0.25137434446694262</v>
      </c>
      <c r="F82" s="61">
        <v>1.0000317854274611E-2</v>
      </c>
      <c r="G82" s="25">
        <v>1.0000226698882311E-2</v>
      </c>
      <c r="H82" s="25">
        <v>0.22862659363353241</v>
      </c>
      <c r="I82" s="25">
        <v>9.9998540812996639E-2</v>
      </c>
      <c r="J82" s="25">
        <v>0.31335391978184501</v>
      </c>
      <c r="K82" s="25">
        <v>1.0000032189788599E-2</v>
      </c>
      <c r="L82" s="25">
        <v>1.0000447453193428E-2</v>
      </c>
      <c r="M82" s="25">
        <v>5.663002543375343E-2</v>
      </c>
      <c r="N82" s="21">
        <v>1.0015551674790797E-2</v>
      </c>
      <c r="P82" s="27">
        <f t="array" ref="P82">SQRT(MMULT($E82:$N82,MMULT($G$5:$P$14,TRANSPOSE($E82:$N82))))-B82</f>
        <v>0</v>
      </c>
      <c r="Q82" s="27">
        <f t="shared" si="0"/>
        <v>0</v>
      </c>
      <c r="R82" s="27">
        <f t="array" ref="R82">SUM(IF($E82:$N82&lt;TRANSPOSE($D$5:$D$14),1,"-"))+SUM(IF($E82:$N82&gt;TRANSPOSE($E$5:$E$14),1,"-"))</f>
        <v>0</v>
      </c>
      <c r="S82" s="27">
        <f t="array" ref="S82">SUM(IF(MMULT($E82:$N82,$C$18:$F$27)&lt;$C$31:$F$31,1,"-"))+SUM(IF(MMULT($E82:$N82,$C$18:$F$27)&gt;$C$32:$F$32,1,"-"))</f>
        <v>0</v>
      </c>
      <c r="T82" s="27">
        <f t="shared" si="1"/>
        <v>0.99999999999999989</v>
      </c>
      <c r="V82" s="20">
        <v>7.4514515394880632E-2</v>
      </c>
      <c r="W82" s="21">
        <v>0.10420093075368658</v>
      </c>
      <c r="X82">
        <f t="shared" si="4"/>
        <v>7.5331304720072101E-2</v>
      </c>
    </row>
    <row r="83" spans="2:24" x14ac:dyDescent="0.2">
      <c r="B83" s="60">
        <v>7.5326359142757787E-2</v>
      </c>
      <c r="C83" s="61">
        <v>0.10410613199173195</v>
      </c>
      <c r="D83">
        <v>1</v>
      </c>
      <c r="E83" s="60">
        <v>0.2524551899434454</v>
      </c>
      <c r="F83" s="61">
        <v>1.0000872050127157E-2</v>
      </c>
      <c r="G83" s="25">
        <v>1.0002051068199711E-2</v>
      </c>
      <c r="H83" s="25">
        <v>0.22754228485433123</v>
      </c>
      <c r="I83" s="25">
        <v>9.9999629317627889E-2</v>
      </c>
      <c r="J83" s="25">
        <v>0.31704625258299113</v>
      </c>
      <c r="K83" s="25">
        <v>1.0000044628190366E-2</v>
      </c>
      <c r="L83" s="25">
        <v>1.0001556984374688E-2</v>
      </c>
      <c r="M83" s="25">
        <v>5.2759603910446345E-2</v>
      </c>
      <c r="N83" s="21">
        <v>1.0192514660266236E-2</v>
      </c>
      <c r="P83" s="27">
        <f t="array" ref="P83">SQRT(MMULT($E83:$N83,MMULT($G$5:$P$14,TRANSPOSE($E83:$N83))))-B83</f>
        <v>0</v>
      </c>
      <c r="Q83" s="27">
        <f t="shared" si="0"/>
        <v>0</v>
      </c>
      <c r="R83" s="27">
        <f t="array" ref="R83">SUM(IF($E83:$N83&lt;TRANSPOSE($D$5:$D$14),1,"-"))+SUM(IF($E83:$N83&gt;TRANSPOSE($E$5:$E$14),1,"-"))</f>
        <v>0</v>
      </c>
      <c r="S83" s="27">
        <f t="array" ref="S83">SUM(IF(MMULT($E83:$N83,$C$18:$F$27)&lt;$C$31:$F$31,1,"-"))+SUM(IF(MMULT($E83:$N83,$C$18:$F$27)&gt;$C$32:$F$32,1,"-"))</f>
        <v>0</v>
      </c>
      <c r="T83" s="27">
        <f t="shared" si="1"/>
        <v>1</v>
      </c>
      <c r="V83" s="20">
        <v>7.4536383199890435E-2</v>
      </c>
      <c r="W83" s="21">
        <v>0.10457089389616291</v>
      </c>
      <c r="X83">
        <f t="shared" si="4"/>
        <v>7.5351949281369651E-2</v>
      </c>
    </row>
    <row r="84" spans="2:24" x14ac:dyDescent="0.2">
      <c r="B84" s="60">
        <v>7.5343941777977291E-2</v>
      </c>
      <c r="C84" s="61">
        <v>0.10442736167623301</v>
      </c>
      <c r="D84">
        <v>1</v>
      </c>
      <c r="E84" s="60">
        <v>0.25364751397044089</v>
      </c>
      <c r="F84" s="61">
        <v>1.0000525325637106E-2</v>
      </c>
      <c r="G84" s="25">
        <v>1.0000266325072404E-2</v>
      </c>
      <c r="H84" s="25">
        <v>0.22635450473642016</v>
      </c>
      <c r="I84" s="25">
        <v>9.9997228060858145E-2</v>
      </c>
      <c r="J84" s="25">
        <v>0.32103965813746987</v>
      </c>
      <c r="K84" s="25">
        <v>1.0000052700910395E-2</v>
      </c>
      <c r="L84" s="25">
        <v>1.0000682722352596E-2</v>
      </c>
      <c r="M84" s="25">
        <v>4.8909528892179907E-2</v>
      </c>
      <c r="N84" s="21">
        <v>1.0050039128658662E-2</v>
      </c>
      <c r="P84" s="27">
        <f t="array" ref="P84">SQRT(MMULT($E84:$N84,MMULT($G$5:$P$14,TRANSPOSE($E84:$N84))))-B84</f>
        <v>0</v>
      </c>
      <c r="Q84" s="27">
        <f t="shared" si="0"/>
        <v>0</v>
      </c>
      <c r="R84" s="27">
        <f t="array" ref="R84">SUM(IF($E84:$N84&lt;TRANSPOSE($D$5:$D$14),1,"-"))+SUM(IF($E84:$N84&gt;TRANSPOSE($E$5:$E$14),1,"-"))</f>
        <v>0</v>
      </c>
      <c r="S84" s="27">
        <f t="array" ref="S84">SUM(IF(MMULT($E84:$N84,$C$18:$F$27)&lt;$C$31:$F$31,1,"-"))+SUM(IF(MMULT($E84:$N84,$C$18:$F$27)&gt;$C$32:$F$32,1,"-"))</f>
        <v>0</v>
      </c>
      <c r="T84" s="27">
        <f t="shared" si="1"/>
        <v>1.0000000000000002</v>
      </c>
      <c r="V84" s="20">
        <v>7.4558568045702586E-2</v>
      </c>
      <c r="W84" s="21">
        <v>0.10494085703863922</v>
      </c>
      <c r="X84">
        <f t="shared" si="4"/>
        <v>7.5373185312705537E-2</v>
      </c>
    </row>
    <row r="85" spans="2:24" x14ac:dyDescent="0.2">
      <c r="B85" s="60">
        <v>7.53620729500981E-2</v>
      </c>
      <c r="C85" s="61">
        <v>0.10474859136073286</v>
      </c>
      <c r="D85">
        <v>1</v>
      </c>
      <c r="E85" s="60">
        <v>0.25480566752450207</v>
      </c>
      <c r="F85" s="61">
        <v>1.0000010134384004E-2</v>
      </c>
      <c r="G85" s="25">
        <v>1.0000030805598073E-2</v>
      </c>
      <c r="H85" s="25">
        <v>0.22519429695001927</v>
      </c>
      <c r="I85" s="25">
        <v>9.9999994898813907E-2</v>
      </c>
      <c r="J85" s="25">
        <v>0.32493984813909887</v>
      </c>
      <c r="K85" s="25">
        <v>1.0000000533705068E-2</v>
      </c>
      <c r="L85" s="25">
        <v>1.0000018197913374E-2</v>
      </c>
      <c r="M85" s="25">
        <v>4.5056316567805996E-2</v>
      </c>
      <c r="N85" s="21">
        <v>1.0003816248159454E-2</v>
      </c>
      <c r="P85" s="27">
        <f t="array" ref="P85">SQRT(MMULT($E85:$N85,MMULT($G$5:$P$14,TRANSPOSE($E85:$N85))))-B85</f>
        <v>0</v>
      </c>
      <c r="Q85" s="27">
        <f t="shared" si="0"/>
        <v>0</v>
      </c>
      <c r="R85" s="27">
        <f t="array" ref="R85">SUM(IF($E85:$N85&lt;TRANSPOSE($D$5:$D$14),1,"-"))+SUM(IF($E85:$N85&gt;TRANSPOSE($E$5:$E$14),1,"-"))</f>
        <v>0</v>
      </c>
      <c r="S85" s="27">
        <f t="array" ref="S85">SUM(IF(MMULT($E85:$N85,$C$18:$F$27)&lt;$C$31:$F$31,1,"-"))+SUM(IF(MMULT($E85:$N85,$C$18:$F$27)&gt;$C$32:$F$32,1,"-"))</f>
        <v>0</v>
      </c>
      <c r="T85" s="27">
        <f t="shared" si="1"/>
        <v>1.0000000000000002</v>
      </c>
      <c r="V85" s="20">
        <v>7.4581069649228809E-2</v>
      </c>
      <c r="W85" s="21">
        <v>0.10531082018111557</v>
      </c>
      <c r="X85">
        <f t="shared" si="4"/>
        <v>7.5395014245952643E-2</v>
      </c>
    </row>
    <row r="86" spans="2:24" x14ac:dyDescent="0.2">
      <c r="B86" s="60">
        <v>7.5380720319346117E-2</v>
      </c>
      <c r="C86" s="61">
        <v>0.10506982104523277</v>
      </c>
      <c r="D86">
        <v>1</v>
      </c>
      <c r="E86" s="60">
        <v>0.25594848245794016</v>
      </c>
      <c r="F86" s="61">
        <v>1.0000007895172237E-2</v>
      </c>
      <c r="G86" s="25">
        <v>1.0000003863879366E-2</v>
      </c>
      <c r="H86" s="25">
        <v>0.22405155971489082</v>
      </c>
      <c r="I86" s="25">
        <v>9.9999946491729233E-2</v>
      </c>
      <c r="J86" s="25">
        <v>0.32879960246682793</v>
      </c>
      <c r="K86" s="25">
        <v>1.0000000566634052E-2</v>
      </c>
      <c r="L86" s="25">
        <v>1.0000011439286484E-2</v>
      </c>
      <c r="M86" s="25">
        <v>4.119776811400129E-2</v>
      </c>
      <c r="N86" s="21">
        <v>1.0002616989638372E-2</v>
      </c>
      <c r="P86" s="27">
        <f t="array" ref="P86">SQRT(MMULT($E86:$N86,MMULT($G$5:$P$14,TRANSPOSE($E86:$N86))))-B86</f>
        <v>0</v>
      </c>
      <c r="Q86" s="27">
        <f t="shared" si="0"/>
        <v>0</v>
      </c>
      <c r="R86" s="27">
        <f t="array" ref="R86">SUM(IF($E86:$N86&lt;TRANSPOSE($D$5:$D$14),1,"-"))+SUM(IF($E86:$N86&gt;TRANSPOSE($E$5:$E$14),1,"-"))</f>
        <v>0</v>
      </c>
      <c r="S86" s="27">
        <f t="array" ref="S86">SUM(IF(MMULT($E86:$N86,$C$18:$F$27)&lt;$C$31:$F$31,1,"-"))+SUM(IF(MMULT($E86:$N86,$C$18:$F$27)&gt;$C$32:$F$32,1,"-"))</f>
        <v>0</v>
      </c>
      <c r="T86" s="27">
        <f t="shared" si="1"/>
        <v>1.0000000000000002</v>
      </c>
      <c r="V86" s="20">
        <v>7.4603887724010762E-2</v>
      </c>
      <c r="W86" s="21">
        <v>0.10568078332359188</v>
      </c>
      <c r="X86">
        <f t="shared" si="4"/>
        <v>7.5417440061946284E-2</v>
      </c>
    </row>
    <row r="87" spans="2:24" x14ac:dyDescent="0.2">
      <c r="B87" s="60">
        <v>7.53998181957726E-2</v>
      </c>
      <c r="C87" s="61">
        <v>0.10539105072973264</v>
      </c>
      <c r="D87">
        <v>1</v>
      </c>
      <c r="E87" s="60">
        <v>0.25708806756319891</v>
      </c>
      <c r="F87" s="61">
        <v>1.0000008651194856E-2</v>
      </c>
      <c r="G87" s="25">
        <v>1.0000010569323061E-2</v>
      </c>
      <c r="H87" s="25">
        <v>0.22291191830968515</v>
      </c>
      <c r="I87" s="25">
        <v>9.9999995215109064E-2</v>
      </c>
      <c r="J87" s="25">
        <v>0.33265053848527437</v>
      </c>
      <c r="K87" s="25">
        <v>1.0000000409059486E-2</v>
      </c>
      <c r="L87" s="25">
        <v>1.0000012498351385E-2</v>
      </c>
      <c r="M87" s="25">
        <v>3.7338635381407075E-2</v>
      </c>
      <c r="N87" s="21">
        <v>1.0010812917396665E-2</v>
      </c>
      <c r="P87" s="27">
        <f t="array" ref="P87">SQRT(MMULT($E87:$N87,MMULT($G$5:$P$14,TRANSPOSE($E87:$N87))))-B87</f>
        <v>0</v>
      </c>
      <c r="Q87" s="27">
        <f t="shared" si="0"/>
        <v>0</v>
      </c>
      <c r="R87" s="27">
        <f t="array" ref="R87">SUM(IF($E87:$N87&lt;TRANSPOSE($D$5:$D$14),1,"-"))+SUM(IF($E87:$N87&gt;TRANSPOSE($E$5:$E$14),1,"-"))</f>
        <v>0</v>
      </c>
      <c r="S87" s="27">
        <f t="array" ref="S87">SUM(IF(MMULT($E87:$N87,$C$18:$F$27)&lt;$C$31:$F$31,1,"-"))+SUM(IF(MMULT($E87:$N87,$C$18:$F$27)&gt;$C$32:$F$32,1,"-"))</f>
        <v>0</v>
      </c>
      <c r="T87" s="27">
        <f t="shared" si="1"/>
        <v>0.99999999999999989</v>
      </c>
      <c r="V87" s="20">
        <v>7.462702197970493E-2</v>
      </c>
      <c r="W87" s="21">
        <v>0.1060507464660682</v>
      </c>
      <c r="X87">
        <f t="shared" si="4"/>
        <v>7.544046873860949E-2</v>
      </c>
    </row>
    <row r="88" spans="2:24" x14ac:dyDescent="0.2">
      <c r="B88" s="60">
        <v>7.5419513175988565E-2</v>
      </c>
      <c r="C88" s="61">
        <v>0.10571228041423252</v>
      </c>
      <c r="D88">
        <v>1</v>
      </c>
      <c r="E88" s="60">
        <v>0.25815057092523946</v>
      </c>
      <c r="F88" s="61">
        <v>1.000101920651438E-2</v>
      </c>
      <c r="G88" s="25">
        <v>1.0000953719619158E-2</v>
      </c>
      <c r="H88" s="25">
        <v>0.22184854588905051</v>
      </c>
      <c r="I88" s="25">
        <v>9.9998996396525125E-2</v>
      </c>
      <c r="J88" s="25">
        <v>0.33628545539330468</v>
      </c>
      <c r="K88" s="25">
        <v>1.0000112107908781E-2</v>
      </c>
      <c r="L88" s="25">
        <v>1.0001036044996475E-2</v>
      </c>
      <c r="M88" s="25">
        <v>3.3463324130121271E-2</v>
      </c>
      <c r="N88" s="21">
        <v>1.0249986186720156E-2</v>
      </c>
      <c r="P88" s="27">
        <f t="array" ref="P88">SQRT(MMULT($E88:$N88,MMULT($G$5:$P$14,TRANSPOSE($E88:$N88))))-B88</f>
        <v>0</v>
      </c>
      <c r="Q88" s="27">
        <f t="shared" si="0"/>
        <v>0</v>
      </c>
      <c r="R88" s="27">
        <f t="array" ref="R88">SUM(IF($E88:$N88&lt;TRANSPOSE($D$5:$D$14),1,"-"))+SUM(IF($E88:$N88&gt;TRANSPOSE($E$5:$E$14),1,"-"))</f>
        <v>0</v>
      </c>
      <c r="S88" s="27">
        <f t="array" ref="S88">SUM(IF(MMULT($E88:$N88,$C$18:$F$27)&lt;$C$31:$F$31,1,"-"))+SUM(IF(MMULT($E88:$N88,$C$18:$F$27)&gt;$C$32:$F$32,1,"-"))</f>
        <v>0</v>
      </c>
      <c r="T88" s="27">
        <f t="shared" si="1"/>
        <v>0.99999999999999989</v>
      </c>
      <c r="V88" s="20">
        <v>7.4650472122356912E-2</v>
      </c>
      <c r="W88" s="21">
        <v>0.10642070960854451</v>
      </c>
      <c r="X88">
        <f t="shared" si="4"/>
        <v>7.546409539547172E-2</v>
      </c>
    </row>
    <row r="89" spans="2:24" x14ac:dyDescent="0.2">
      <c r="B89" s="60">
        <v>7.5439594356286402E-2</v>
      </c>
      <c r="C89" s="61">
        <v>0.10603351009873226</v>
      </c>
      <c r="D89">
        <v>1</v>
      </c>
      <c r="E89" s="60">
        <v>0.25915598538077117</v>
      </c>
      <c r="F89" s="61">
        <v>1.0000222303114738E-2</v>
      </c>
      <c r="G89" s="25">
        <v>1.0000423293284042E-2</v>
      </c>
      <c r="H89" s="25">
        <v>0.2208438301316524</v>
      </c>
      <c r="I89" s="25">
        <v>9.9999552430365554E-2</v>
      </c>
      <c r="J89" s="25">
        <v>0.33977879667654659</v>
      </c>
      <c r="K89" s="25">
        <v>1.000001847819954E-2</v>
      </c>
      <c r="L89" s="25">
        <v>1.0000494420174644E-2</v>
      </c>
      <c r="M89" s="25">
        <v>2.9576871224163734E-2</v>
      </c>
      <c r="N89" s="21">
        <v>1.0643805661727571E-2</v>
      </c>
      <c r="P89" s="27">
        <f t="array" ref="P89">SQRT(MMULT($E89:$N89,MMULT($G$5:$P$14,TRANSPOSE($E89:$N89))))-B89</f>
        <v>0</v>
      </c>
      <c r="Q89" s="27">
        <f t="shared" si="0"/>
        <v>0</v>
      </c>
      <c r="R89" s="27">
        <f t="array" ref="R89">SUM(IF($E89:$N89&lt;TRANSPOSE($D$5:$D$14),1,"-"))+SUM(IF($E89:$N89&gt;TRANSPOSE($E$5:$E$14),1,"-"))</f>
        <v>0</v>
      </c>
      <c r="S89" s="27">
        <f t="array" ref="S89">SUM(IF(MMULT($E89:$N89,$C$18:$F$27)&lt;$C$31:$F$31,1,"-"))+SUM(IF(MMULT($E89:$N89,$C$18:$F$27)&gt;$C$32:$F$32,1,"-"))</f>
        <v>0</v>
      </c>
      <c r="T89" s="27">
        <f t="shared" si="1"/>
        <v>1</v>
      </c>
      <c r="V89" s="20">
        <v>7.4674237854370204E-2</v>
      </c>
      <c r="W89" s="21">
        <v>0.10679067275102082</v>
      </c>
      <c r="X89">
        <f t="shared" si="4"/>
        <v>7.5488281419499828E-2</v>
      </c>
    </row>
    <row r="90" spans="2:24" x14ac:dyDescent="0.2">
      <c r="B90" s="60">
        <v>7.5459971648496868E-2</v>
      </c>
      <c r="C90" s="61">
        <v>0.10635473978323226</v>
      </c>
      <c r="D90">
        <v>1</v>
      </c>
      <c r="E90" s="60">
        <v>0.26026121512602546</v>
      </c>
      <c r="F90" s="61">
        <v>1.0000309429906689E-2</v>
      </c>
      <c r="G90" s="25">
        <v>1.0000130685897441E-2</v>
      </c>
      <c r="H90" s="25">
        <v>0.21973847400480828</v>
      </c>
      <c r="I90" s="25">
        <v>9.9999885013154766E-2</v>
      </c>
      <c r="J90" s="25">
        <v>0.34353700965090705</v>
      </c>
      <c r="K90" s="25">
        <v>1.0000020630551439E-2</v>
      </c>
      <c r="L90" s="25">
        <v>1.0000806580356385E-2</v>
      </c>
      <c r="M90" s="25">
        <v>2.5710238362641712E-2</v>
      </c>
      <c r="N90" s="21">
        <v>1.0751910515750767E-2</v>
      </c>
      <c r="P90" s="27">
        <f t="array" ref="P90">SQRT(MMULT($E90:$N90,MMULT($G$5:$P$14,TRANSPOSE($E90:$N90))))-B90</f>
        <v>0</v>
      </c>
      <c r="Q90" s="27">
        <f t="shared" si="0"/>
        <v>0</v>
      </c>
      <c r="R90" s="27">
        <f t="array" ref="R90">SUM(IF($E90:$N90&lt;TRANSPOSE($D$5:$D$14),1,"-"))+SUM(IF($E90:$N90&gt;TRANSPOSE($E$5:$E$14),1,"-"))</f>
        <v>0</v>
      </c>
      <c r="S90" s="27">
        <f t="array" ref="S90">SUM(IF(MMULT($E90:$N90,$C$18:$F$27)&lt;$C$31:$F$31,1,"-"))+SUM(IF(MMULT($E90:$N90,$C$18:$F$27)&gt;$C$32:$F$32,1,"-"))</f>
        <v>0</v>
      </c>
      <c r="T90" s="27">
        <f t="shared" si="1"/>
        <v>0.99999999999999989</v>
      </c>
      <c r="V90" s="20">
        <v>7.4698318874535499E-2</v>
      </c>
      <c r="W90" s="21">
        <v>0.10716063589349717</v>
      </c>
      <c r="X90">
        <f t="shared" si="4"/>
        <v>7.5512944574708502E-2</v>
      </c>
    </row>
    <row r="91" spans="2:24" x14ac:dyDescent="0.2">
      <c r="B91" s="60">
        <v>7.5480671726769172E-2</v>
      </c>
      <c r="C91" s="61">
        <v>0.10667596946773214</v>
      </c>
      <c r="D91">
        <v>1</v>
      </c>
      <c r="E91" s="60">
        <v>0.26153869345924724</v>
      </c>
      <c r="F91" s="61">
        <v>1.0000020985629408E-2</v>
      </c>
      <c r="G91" s="25">
        <v>1.0000035830248435E-2</v>
      </c>
      <c r="H91" s="25">
        <v>0.21846132366129903</v>
      </c>
      <c r="I91" s="25">
        <v>9.999992784922862E-2</v>
      </c>
      <c r="J91" s="25">
        <v>0.34776109033210217</v>
      </c>
      <c r="K91" s="25">
        <v>1.0000002458194292E-2</v>
      </c>
      <c r="L91" s="25">
        <v>1.0000026936940154E-2</v>
      </c>
      <c r="M91" s="25">
        <v>2.188010972116889E-2</v>
      </c>
      <c r="N91" s="21">
        <v>1.0358768765941804E-2</v>
      </c>
      <c r="P91" s="27">
        <f t="array" ref="P91">SQRT(MMULT($E91:$N91,MMULT($G$5:$P$14,TRANSPOSE($E91:$N91))))-B91</f>
        <v>0</v>
      </c>
      <c r="Q91" s="27">
        <f t="shared" si="0"/>
        <v>0</v>
      </c>
      <c r="R91" s="27">
        <f t="array" ref="R91">SUM(IF($E91:$N91&lt;TRANSPOSE($D$5:$D$14),1,"-"))+SUM(IF($E91:$N91&gt;TRANSPOSE($E$5:$E$14),1,"-"))</f>
        <v>0</v>
      </c>
      <c r="S91" s="27">
        <f t="array" ref="S91">SUM(IF(MMULT($E91:$N91,$C$18:$F$27)&lt;$C$31:$F$31,1,"-"))+SUM(IF(MMULT($E91:$N91,$C$18:$F$27)&gt;$C$32:$F$32,1,"-"))</f>
        <v>0</v>
      </c>
      <c r="T91" s="27">
        <f t="shared" si="1"/>
        <v>1</v>
      </c>
      <c r="V91" s="20">
        <v>7.472271487805221E-2</v>
      </c>
      <c r="W91" s="21">
        <v>0.10753059903597346</v>
      </c>
      <c r="X91">
        <f t="shared" si="4"/>
        <v>7.5538004114100096E-2</v>
      </c>
    </row>
    <row r="92" spans="2:24" x14ac:dyDescent="0.2">
      <c r="B92" s="60">
        <v>7.5501963019681914E-2</v>
      </c>
      <c r="C92" s="61">
        <v>0.10699719915223201</v>
      </c>
      <c r="D92">
        <v>1</v>
      </c>
      <c r="E92" s="60">
        <v>0.2625437541228724</v>
      </c>
      <c r="F92" s="61">
        <v>1.0000199018833334E-2</v>
      </c>
      <c r="G92" s="25">
        <v>1.0000627816689122E-2</v>
      </c>
      <c r="H92" s="25">
        <v>0.21745586700756231</v>
      </c>
      <c r="I92" s="25">
        <v>9.999956131044703E-2</v>
      </c>
      <c r="J92" s="25">
        <v>0.35120493627283145</v>
      </c>
      <c r="K92" s="25">
        <v>1.0000017228649936E-2</v>
      </c>
      <c r="L92" s="25">
        <v>1.0000101141004867E-2</v>
      </c>
      <c r="M92" s="25">
        <v>1.799794245628282E-2</v>
      </c>
      <c r="N92" s="21">
        <v>1.0796993624826676E-2</v>
      </c>
      <c r="P92" s="27">
        <f t="array" ref="P92">SQRT(MMULT($E92:$N92,MMULT($G$5:$P$14,TRANSPOSE($E92:$N92))))-B92</f>
        <v>0</v>
      </c>
      <c r="Q92" s="27">
        <f t="shared" si="0"/>
        <v>0</v>
      </c>
      <c r="R92" s="27">
        <f t="array" ref="R92">SUM(IF($E92:$N92&lt;TRANSPOSE($D$5:$D$14),1,"-"))+SUM(IF($E92:$N92&gt;TRANSPOSE($E$5:$E$14),1,"-"))</f>
        <v>0</v>
      </c>
      <c r="S92" s="27">
        <f t="array" ref="S92">SUM(IF(MMULT($E92:$N92,$C$18:$F$27)&lt;$C$31:$F$31,1,"-"))+SUM(IF(MMULT($E92:$N92,$C$18:$F$27)&gt;$C$32:$F$32,1,"-"))</f>
        <v>0</v>
      </c>
      <c r="T92" s="27">
        <f t="shared" si="1"/>
        <v>1.0000000000000002</v>
      </c>
      <c r="V92" s="20">
        <v>7.4747425556426744E-2</v>
      </c>
      <c r="W92" s="21">
        <v>0.10790056217844983</v>
      </c>
      <c r="X92">
        <f t="shared" si="4"/>
        <v>7.5566034433454263E-2</v>
      </c>
    </row>
    <row r="93" spans="2:24" x14ac:dyDescent="0.2">
      <c r="B93" s="60">
        <v>7.5523619659621205E-2</v>
      </c>
      <c r="C93" s="61">
        <v>0.1073184288367319</v>
      </c>
      <c r="D93">
        <v>1</v>
      </c>
      <c r="E93" s="60">
        <v>0.26309205701272198</v>
      </c>
      <c r="F93" s="61">
        <v>1.0000267948759835E-2</v>
      </c>
      <c r="G93" s="25">
        <v>1.0000461992918505E-2</v>
      </c>
      <c r="H93" s="25">
        <v>0.21690927294669207</v>
      </c>
      <c r="I93" s="25">
        <v>9.9997952733790529E-2</v>
      </c>
      <c r="J93" s="25">
        <v>0.35348664236739175</v>
      </c>
      <c r="K93" s="25">
        <v>1.000002005790291E-2</v>
      </c>
      <c r="L93" s="25">
        <v>1.0000831496657566E-2</v>
      </c>
      <c r="M93" s="25">
        <v>1.4013097283448159E-2</v>
      </c>
      <c r="N93" s="21">
        <v>1.2499396159716705E-2</v>
      </c>
      <c r="P93" s="27">
        <f t="array" ref="P93">SQRT(MMULT($E93:$N93,MMULT($G$5:$P$14,TRANSPOSE($E93:$N93))))-B93</f>
        <v>0</v>
      </c>
      <c r="Q93" s="27">
        <f t="shared" si="0"/>
        <v>0</v>
      </c>
      <c r="R93" s="27">
        <f t="array" ref="R93">SUM(IF($E93:$N93&lt;TRANSPOSE($D$5:$D$14),1,"-"))+SUM(IF($E93:$N93&gt;TRANSPOSE($E$5:$E$14),1,"-"))</f>
        <v>0</v>
      </c>
      <c r="S93" s="27">
        <f t="array" ref="S93">SUM(IF(MMULT($E93:$N93,$C$18:$F$27)&lt;$C$31:$F$31,1,"-"))+SUM(IF(MMULT($E93:$N93,$C$18:$F$27)&gt;$C$32:$F$32,1,"-"))</f>
        <v>0</v>
      </c>
      <c r="T93" s="27">
        <f t="shared" si="1"/>
        <v>1</v>
      </c>
      <c r="V93" s="20">
        <v>7.4772450597721751E-2</v>
      </c>
      <c r="W93" s="21">
        <v>0.10827052532092613</v>
      </c>
      <c r="X93">
        <f t="shared" si="4"/>
        <v>7.5605046018543315E-2</v>
      </c>
    </row>
    <row r="94" spans="2:24" x14ac:dyDescent="0.2">
      <c r="B94" s="60">
        <v>7.5545564016826633E-2</v>
      </c>
      <c r="C94" s="61">
        <v>0.10763965852123177</v>
      </c>
      <c r="D94">
        <v>1</v>
      </c>
      <c r="E94" s="60">
        <v>0.26485795426265329</v>
      </c>
      <c r="F94" s="61">
        <v>1.0000390900969297E-2</v>
      </c>
      <c r="G94" s="25">
        <v>1.0000460133281906E-2</v>
      </c>
      <c r="H94" s="25">
        <v>0.21514422045798068</v>
      </c>
      <c r="I94" s="25">
        <v>9.9996990129087832E-2</v>
      </c>
      <c r="J94" s="25">
        <v>0.35581319338672723</v>
      </c>
      <c r="K94" s="25">
        <v>1.0000027097471409E-2</v>
      </c>
      <c r="L94" s="25">
        <v>1.0001583446072245E-2</v>
      </c>
      <c r="M94" s="25">
        <v>1.0602550183190989E-2</v>
      </c>
      <c r="N94" s="21">
        <v>1.358263000256512E-2</v>
      </c>
      <c r="P94" s="27">
        <f t="array" ref="P94">SQRT(MMULT($E94:$N94,MMULT($G$5:$P$14,TRANSPOSE($E94:$N94))))-B94</f>
        <v>0</v>
      </c>
      <c r="Q94" s="27">
        <f t="shared" si="0"/>
        <v>0</v>
      </c>
      <c r="R94" s="27">
        <f t="array" ref="R94">SUM(IF($E94:$N94&lt;TRANSPOSE($D$5:$D$14),1,"-"))+SUM(IF($E94:$N94&gt;TRANSPOSE($E$5:$E$14),1,"-"))</f>
        <v>0</v>
      </c>
      <c r="S94" s="27">
        <f t="array" ref="S94">SUM(IF(MMULT($E94:$N94,$C$18:$F$27)&lt;$C$31:$F$31,1,"-"))+SUM(IF(MMULT($E94:$N94,$C$18:$F$27)&gt;$C$32:$F$32,1,"-"))</f>
        <v>0</v>
      </c>
      <c r="T94" s="27">
        <f t="shared" si="1"/>
        <v>1</v>
      </c>
      <c r="V94" s="20">
        <v>7.4797789686382413E-2</v>
      </c>
      <c r="W94" s="21">
        <v>0.10864048846340246</v>
      </c>
      <c r="X94">
        <f t="shared" si="4"/>
        <v>7.5653289771446752E-2</v>
      </c>
    </row>
    <row r="95" spans="2:24" x14ac:dyDescent="0.2">
      <c r="B95" s="60">
        <v>7.557161988081354E-2</v>
      </c>
      <c r="C95" s="61">
        <v>0.10796088820573163</v>
      </c>
      <c r="D95">
        <v>1</v>
      </c>
      <c r="E95" s="60">
        <v>0.27215798968144039</v>
      </c>
      <c r="F95" s="61">
        <v>1.0000137050386633E-2</v>
      </c>
      <c r="G95" s="25">
        <v>1.0000196455949184E-2</v>
      </c>
      <c r="H95" s="25">
        <v>0.20784181775889254</v>
      </c>
      <c r="I95" s="25">
        <v>9.9999865653011444E-2</v>
      </c>
      <c r="J95" s="25">
        <v>0.35638328608446279</v>
      </c>
      <c r="K95" s="25">
        <v>1.0000009669811082E-2</v>
      </c>
      <c r="L95" s="25">
        <v>1.0000180565243804E-2</v>
      </c>
      <c r="M95" s="25">
        <v>1.0000483260570929E-2</v>
      </c>
      <c r="N95" s="21">
        <v>1.3616033820231171E-2</v>
      </c>
      <c r="P95" s="27">
        <f t="array" ref="P95">SQRT(MMULT($E95:$N95,MMULT($G$5:$P$14,TRANSPOSE($E95:$N95))))-B95</f>
        <v>0</v>
      </c>
      <c r="Q95" s="27">
        <f t="shared" si="0"/>
        <v>0</v>
      </c>
      <c r="R95" s="27">
        <f t="array" ref="R95">SUM(IF($E95:$N95&lt;TRANSPOSE($D$5:$D$14),1,"-"))+SUM(IF($E95:$N95&gt;TRANSPOSE($E$5:$E$14),1,"-"))</f>
        <v>0</v>
      </c>
      <c r="S95" s="27">
        <f t="array" ref="S95">SUM(IF(MMULT($E95:$N95,$C$18:$F$27)&lt;$C$31:$F$31,1,"-"))+SUM(IF(MMULT($E95:$N95,$C$18:$F$27)&gt;$C$32:$F$32,1,"-"))</f>
        <v>0</v>
      </c>
      <c r="T95" s="27">
        <f t="shared" si="1"/>
        <v>0.99999999999999989</v>
      </c>
      <c r="V95" s="20">
        <v>7.4823442503411192E-2</v>
      </c>
      <c r="W95" s="21">
        <v>0.10901045160587879</v>
      </c>
      <c r="X95">
        <f t="shared" si="4"/>
        <v>7.5703161858058005E-2</v>
      </c>
    </row>
    <row r="96" spans="2:24" x14ac:dyDescent="0.2">
      <c r="B96" s="60">
        <v>7.5606454371893561E-2</v>
      </c>
      <c r="C96" s="61">
        <v>0.10828211789023151</v>
      </c>
      <c r="D96">
        <v>1</v>
      </c>
      <c r="E96" s="60">
        <v>0.28073698044596679</v>
      </c>
      <c r="F96" s="61">
        <v>1.000001208371813E-2</v>
      </c>
      <c r="G96" s="25">
        <v>1.0004367828010743E-2</v>
      </c>
      <c r="H96" s="25">
        <v>0.19925867372296821</v>
      </c>
      <c r="I96" s="25">
        <v>9.9999967043437304E-2</v>
      </c>
      <c r="J96" s="25">
        <v>0.35702142144497007</v>
      </c>
      <c r="K96" s="25">
        <v>1.0000001485714324E-2</v>
      </c>
      <c r="L96" s="25">
        <v>1.0000008319611925E-2</v>
      </c>
      <c r="M96" s="25">
        <v>1.000002395704888E-2</v>
      </c>
      <c r="N96" s="21">
        <v>1.2978543668553576E-2</v>
      </c>
      <c r="P96" s="27">
        <f t="array" ref="P96">SQRT(MMULT($E96:$N96,MMULT($G$5:$P$14,TRANSPOSE($E96:$N96))))-B96</f>
        <v>0</v>
      </c>
      <c r="Q96" s="27">
        <f t="shared" si="0"/>
        <v>0</v>
      </c>
      <c r="R96" s="27">
        <f t="array" ref="R96">SUM(IF($E96:$N96&lt;TRANSPOSE($D$5:$D$14),1,"-"))+SUM(IF($E96:$N96&gt;TRANSPOSE($E$5:$E$14),1,"-"))</f>
        <v>0</v>
      </c>
      <c r="S96" s="27">
        <f t="array" ref="S96">SUM(IF(MMULT($E96:$N96,$C$18:$F$27)&lt;$C$31:$F$31,1,"-"))+SUM(IF(MMULT($E96:$N96,$C$18:$F$27)&gt;$C$32:$F$32,1,"-"))</f>
        <v>0</v>
      </c>
      <c r="T96" s="27">
        <f t="shared" si="1"/>
        <v>0.99999999999999989</v>
      </c>
      <c r="V96" s="20">
        <v>7.4849408726196179E-2</v>
      </c>
      <c r="W96" s="21">
        <v>0.10938041474835508</v>
      </c>
      <c r="X96">
        <f t="shared" si="4"/>
        <v>7.5754051483758356E-2</v>
      </c>
    </row>
    <row r="97" spans="2:24" x14ac:dyDescent="0.2">
      <c r="B97" s="60">
        <v>7.5648345662125693E-2</v>
      </c>
      <c r="C97" s="61">
        <v>0.1086033475747314</v>
      </c>
      <c r="D97">
        <v>1</v>
      </c>
      <c r="E97" s="60">
        <v>0.28480722256884261</v>
      </c>
      <c r="F97" s="61">
        <v>1.0000049895357249E-2</v>
      </c>
      <c r="G97" s="25">
        <v>1.240786664765298E-2</v>
      </c>
      <c r="H97" s="25">
        <v>0.19278496734135195</v>
      </c>
      <c r="I97" s="25">
        <v>9.999989746822395E-2</v>
      </c>
      <c r="J97" s="25">
        <v>0.3560291213866289</v>
      </c>
      <c r="K97" s="25">
        <v>1.0000005194048908E-2</v>
      </c>
      <c r="L97" s="25">
        <v>1.0000030598963851E-2</v>
      </c>
      <c r="M97" s="25">
        <v>1.0000065087859389E-2</v>
      </c>
      <c r="N97" s="21">
        <v>1.3970773811070317E-2</v>
      </c>
      <c r="P97" s="27">
        <f t="array" ref="P97">SQRT(MMULT($E97:$N97,MMULT($G$5:$P$14,TRANSPOSE($E97:$N97))))-B97</f>
        <v>0</v>
      </c>
      <c r="Q97" s="27">
        <f t="shared" si="0"/>
        <v>0</v>
      </c>
      <c r="R97" s="27">
        <f t="array" ref="R97">SUM(IF($E97:$N97&lt;TRANSPOSE($D$5:$D$14),1,"-"))+SUM(IF($E97:$N97&gt;TRANSPOSE($E$5:$E$14),1,"-"))</f>
        <v>0</v>
      </c>
      <c r="S97" s="27">
        <f t="array" ref="S97">SUM(IF(MMULT($E97:$N97,$C$18:$F$27)&lt;$C$31:$F$31,1,"-"))+SUM(IF(MMULT($E97:$N97,$C$18:$F$27)&gt;$C$32:$F$32,1,"-"))</f>
        <v>0</v>
      </c>
      <c r="T97" s="27">
        <f t="shared" si="1"/>
        <v>1</v>
      </c>
      <c r="V97" s="20">
        <v>7.4876202508220191E-2</v>
      </c>
      <c r="W97" s="21">
        <v>0.1097503778908314</v>
      </c>
      <c r="X97">
        <f t="shared" si="4"/>
        <v>7.5805955752921095E-2</v>
      </c>
    </row>
    <row r="98" spans="2:24" x14ac:dyDescent="0.2">
      <c r="B98" s="60">
        <v>7.5691506833764105E-2</v>
      </c>
      <c r="C98" s="61">
        <v>0.10892457725923123</v>
      </c>
      <c r="D98">
        <v>1</v>
      </c>
      <c r="E98" s="60">
        <v>0.28667218455953991</v>
      </c>
      <c r="F98" s="61">
        <v>1.0000171517716091E-2</v>
      </c>
      <c r="G98" s="25">
        <v>1.6069404512668743E-2</v>
      </c>
      <c r="H98" s="25">
        <v>0.18725886616891962</v>
      </c>
      <c r="I98" s="25">
        <v>9.9999380115524228E-2</v>
      </c>
      <c r="J98" s="25">
        <v>0.35493353885720186</v>
      </c>
      <c r="K98" s="25">
        <v>1.0000012663419175E-2</v>
      </c>
      <c r="L98" s="25">
        <v>1.000023057679539E-2</v>
      </c>
      <c r="M98" s="25">
        <v>1.0000380066469979E-2</v>
      </c>
      <c r="N98" s="21">
        <v>1.5065830961745075E-2</v>
      </c>
      <c r="P98" s="27">
        <f t="array" ref="P98">SQRT(MMULT($E98:$N98,MMULT($G$5:$P$14,TRANSPOSE($E98:$N98))))-B98</f>
        <v>0</v>
      </c>
      <c r="Q98" s="27">
        <f t="shared" si="0"/>
        <v>0</v>
      </c>
      <c r="R98" s="27">
        <f t="array" ref="R98">SUM(IF($E98:$N98&lt;TRANSPOSE($D$5:$D$14),1,"-"))+SUM(IF($E98:$N98&gt;TRANSPOSE($E$5:$E$14),1,"-"))</f>
        <v>0</v>
      </c>
      <c r="S98" s="27">
        <f t="array" ref="S98">SUM(IF(MMULT($E98:$N98,$C$18:$F$27)&lt;$C$31:$F$31,1,"-"))+SUM(IF(MMULT($E98:$N98,$C$18:$F$27)&gt;$C$32:$F$32,1,"-"))</f>
        <v>0</v>
      </c>
      <c r="T98" s="27">
        <f t="shared" si="1"/>
        <v>1</v>
      </c>
      <c r="V98" s="20">
        <v>7.4911875472253378E-2</v>
      </c>
      <c r="W98" s="21">
        <v>0.11012034103330773</v>
      </c>
      <c r="X98">
        <f t="shared" si="4"/>
        <v>7.5858881537419792E-2</v>
      </c>
    </row>
    <row r="99" spans="2:24" x14ac:dyDescent="0.2">
      <c r="B99" s="60">
        <v>7.5735439828578402E-2</v>
      </c>
      <c r="C99" s="61">
        <v>0.10924580694373111</v>
      </c>
      <c r="D99">
        <v>1</v>
      </c>
      <c r="E99" s="60">
        <v>0.28840628546176139</v>
      </c>
      <c r="F99" s="61">
        <v>1.0000069598745045E-2</v>
      </c>
      <c r="G99" s="25">
        <v>1.9755848397851442E-2</v>
      </c>
      <c r="H99" s="25">
        <v>0.18183927888184898</v>
      </c>
      <c r="I99" s="25">
        <v>9.9998529618402859E-2</v>
      </c>
      <c r="J99" s="25">
        <v>0.35342288377090803</v>
      </c>
      <c r="K99" s="25">
        <v>1.00000266093882E-2</v>
      </c>
      <c r="L99" s="25">
        <v>1.0000291380716344E-2</v>
      </c>
      <c r="M99" s="25">
        <v>1.0000581742447855E-2</v>
      </c>
      <c r="N99" s="21">
        <v>1.6576204537929899E-2</v>
      </c>
      <c r="P99" s="27">
        <f t="array" ref="P99">SQRT(MMULT($E99:$N99,MMULT($G$5:$P$14,TRANSPOSE($E99:$N99))))-B99</f>
        <v>0</v>
      </c>
      <c r="Q99" s="27">
        <f t="shared" si="0"/>
        <v>0</v>
      </c>
      <c r="R99" s="27">
        <f t="array" ref="R99">SUM(IF($E99:$N99&lt;TRANSPOSE($D$5:$D$14),1,"-"))+SUM(IF($E99:$N99&gt;TRANSPOSE($E$5:$E$14),1,"-"))</f>
        <v>0</v>
      </c>
      <c r="S99" s="27">
        <f t="array" ref="S99">SUM(IF(MMULT($E99:$N99,$C$18:$F$27)&lt;$C$31:$F$31,1,"-"))+SUM(IF(MMULT($E99:$N99,$C$18:$F$27)&gt;$C$32:$F$32,1,"-"))</f>
        <v>0</v>
      </c>
      <c r="T99" s="27">
        <f t="shared" si="1"/>
        <v>0.99999999999999989</v>
      </c>
      <c r="V99" s="20">
        <v>7.4957404734861108E-2</v>
      </c>
      <c r="W99" s="21">
        <v>0.11049030417578407</v>
      </c>
      <c r="X99">
        <f t="shared" si="4"/>
        <v>7.5912804868209088E-2</v>
      </c>
    </row>
    <row r="100" spans="2:24" x14ac:dyDescent="0.2">
      <c r="B100" s="60">
        <v>7.578011122065334E-2</v>
      </c>
      <c r="C100" s="61">
        <v>0.10956703662823103</v>
      </c>
      <c r="D100">
        <v>1</v>
      </c>
      <c r="E100" s="60">
        <v>0.29023560039643059</v>
      </c>
      <c r="F100" s="61">
        <v>1.0000060636837492E-2</v>
      </c>
      <c r="G100" s="25">
        <v>2.3414196725221284E-2</v>
      </c>
      <c r="H100" s="25">
        <v>0.17635028883839202</v>
      </c>
      <c r="I100" s="25">
        <v>9.9999856481442245E-2</v>
      </c>
      <c r="J100" s="25">
        <v>0.3521529620419121</v>
      </c>
      <c r="K100" s="25">
        <v>1.000000475972947E-2</v>
      </c>
      <c r="L100" s="25">
        <v>1.0000056498904659E-2</v>
      </c>
      <c r="M100" s="25">
        <v>1.0000221525841787E-2</v>
      </c>
      <c r="N100" s="21">
        <v>1.784675209528841E-2</v>
      </c>
      <c r="P100" s="27">
        <f t="array" ref="P100">SQRT(MMULT($E100:$N100,MMULT($G$5:$P$14,TRANSPOSE($E100:$N100))))-B100</f>
        <v>0</v>
      </c>
      <c r="Q100" s="27">
        <f t="shared" si="0"/>
        <v>0</v>
      </c>
      <c r="R100" s="27">
        <f t="array" ref="R100">SUM(IF($E100:$N100&lt;TRANSPOSE($D$5:$D$14),1,"-"))+SUM(IF($E100:$N100&gt;TRANSPOSE($E$5:$E$14),1,"-"))</f>
        <v>0</v>
      </c>
      <c r="S100" s="27">
        <f t="array" ref="S100">SUM(IF(MMULT($E100:$N100,$C$18:$F$27)&lt;$C$31:$F$31,1,"-"))+SUM(IF(MMULT($E100:$N100,$C$18:$F$27)&gt;$C$32:$F$32,1,"-"))</f>
        <v>0</v>
      </c>
      <c r="T100" s="27">
        <f t="shared" si="1"/>
        <v>1.0000000000000002</v>
      </c>
      <c r="V100" s="20">
        <v>7.5004903444352553E-2</v>
      </c>
      <c r="W100" s="21">
        <v>0.1108602673182604</v>
      </c>
      <c r="X100">
        <f t="shared" si="4"/>
        <v>7.5967738188105705E-2</v>
      </c>
    </row>
    <row r="101" spans="2:24" x14ac:dyDescent="0.2">
      <c r="B101" s="60">
        <v>7.5825578175329464E-2</v>
      </c>
      <c r="C101" s="61">
        <v>0.10988826631273077</v>
      </c>
      <c r="D101">
        <v>1</v>
      </c>
      <c r="E101" s="60">
        <v>0.29200066840659228</v>
      </c>
      <c r="F101" s="61">
        <v>1.0000056850771927E-2</v>
      </c>
      <c r="G101" s="25">
        <v>2.709695265060641E-2</v>
      </c>
      <c r="H101" s="25">
        <v>0.1709035450756462</v>
      </c>
      <c r="I101" s="25">
        <v>9.9998786522768585E-2</v>
      </c>
      <c r="J101" s="25">
        <v>0.3507550778972004</v>
      </c>
      <c r="K101" s="25">
        <v>1.0000024077979324E-2</v>
      </c>
      <c r="L101" s="25">
        <v>1.0000266150959032E-2</v>
      </c>
      <c r="M101" s="25">
        <v>1.0000525592706191E-2</v>
      </c>
      <c r="N101" s="21">
        <v>1.9244096774769619E-2</v>
      </c>
      <c r="P101" s="27">
        <f t="array" ref="P101">SQRT(MMULT($E101:$N101,MMULT($G$5:$P$14,TRANSPOSE($E101:$N101))))-B101</f>
        <v>0</v>
      </c>
      <c r="Q101" s="27">
        <f t="shared" si="0"/>
        <v>0</v>
      </c>
      <c r="R101" s="27">
        <f t="array" ref="R101">SUM(IF($E101:$N101&lt;TRANSPOSE($D$5:$D$14),1,"-"))+SUM(IF($E101:$N101&gt;TRANSPOSE($E$5:$E$14),1,"-"))</f>
        <v>0</v>
      </c>
      <c r="S101" s="27">
        <f t="array" ref="S101">SUM(IF(MMULT($E101:$N101,$C$18:$F$27)&lt;$C$31:$F$31,1,"-"))+SUM(IF(MMULT($E101:$N101,$C$18:$F$27)&gt;$C$32:$F$32,1,"-"))</f>
        <v>0</v>
      </c>
      <c r="T101" s="27">
        <f t="shared" si="1"/>
        <v>0.99999999999999989</v>
      </c>
      <c r="V101" s="20">
        <v>7.5053431229855014E-2</v>
      </c>
      <c r="W101" s="21">
        <v>0.11123023046073671</v>
      </c>
      <c r="X101">
        <f t="shared" si="4"/>
        <v>7.6023677998913089E-2</v>
      </c>
    </row>
    <row r="102" spans="2:24" x14ac:dyDescent="0.2">
      <c r="B102" s="60">
        <v>7.5871783789269884E-2</v>
      </c>
      <c r="C102" s="61">
        <v>0.11020949599723073</v>
      </c>
      <c r="D102">
        <v>1</v>
      </c>
      <c r="E102" s="60">
        <v>0.29377706920219038</v>
      </c>
      <c r="F102" s="61">
        <v>1.000011312029467E-2</v>
      </c>
      <c r="G102" s="25">
        <v>3.0772016070878636E-2</v>
      </c>
      <c r="H102" s="25">
        <v>0.16545122184062394</v>
      </c>
      <c r="I102" s="25">
        <v>9.9999584739540598E-2</v>
      </c>
      <c r="J102" s="25">
        <v>0.34936671718006013</v>
      </c>
      <c r="K102" s="25">
        <v>1.0000009284207174E-2</v>
      </c>
      <c r="L102" s="25">
        <v>1.0000094247626285E-2</v>
      </c>
      <c r="M102" s="25">
        <v>1.0000313935491506E-2</v>
      </c>
      <c r="N102" s="21">
        <v>2.063286037908664E-2</v>
      </c>
      <c r="P102" s="27">
        <f t="array" ref="P102">SQRT(MMULT($E102:$N102,MMULT($G$5:$P$14,TRANSPOSE($E102:$N102))))-B102</f>
        <v>0</v>
      </c>
      <c r="Q102" s="27">
        <f t="shared" si="0"/>
        <v>0</v>
      </c>
      <c r="R102" s="27">
        <f t="array" ref="R102">SUM(IF($E102:$N102&lt;TRANSPOSE($D$5:$D$14),1,"-"))+SUM(IF($E102:$N102&gt;TRANSPOSE($E$5:$E$14),1,"-"))</f>
        <v>0</v>
      </c>
      <c r="S102" s="27">
        <f t="array" ref="S102">SUM(IF(MMULT($E102:$N102,$C$18:$F$27)&lt;$C$31:$F$31,1,"-"))+SUM(IF(MMULT($E102:$N102,$C$18:$F$27)&gt;$C$32:$F$32,1,"-"))</f>
        <v>0</v>
      </c>
      <c r="T102" s="27">
        <f t="shared" si="1"/>
        <v>1</v>
      </c>
      <c r="V102" s="20">
        <v>7.5102986096549709E-2</v>
      </c>
      <c r="W102" s="21">
        <v>0.11160019360321301</v>
      </c>
      <c r="X102">
        <f t="shared" si="4"/>
        <v>7.6080621701944157E-2</v>
      </c>
    </row>
    <row r="103" spans="2:24" x14ac:dyDescent="0.2">
      <c r="B103" s="60">
        <v>7.5918763006746659E-2</v>
      </c>
      <c r="C103" s="61">
        <v>0.11053072568173058</v>
      </c>
      <c r="D103">
        <v>1</v>
      </c>
      <c r="E103" s="60">
        <v>0.29555200290121214</v>
      </c>
      <c r="F103" s="61">
        <v>1.000003407962886E-2</v>
      </c>
      <c r="G103" s="25">
        <v>3.4450215713653067E-2</v>
      </c>
      <c r="H103" s="25">
        <v>0.15999836787816513</v>
      </c>
      <c r="I103" s="25">
        <v>9.9999385106848568E-2</v>
      </c>
      <c r="J103" s="25">
        <v>0.34798677670848455</v>
      </c>
      <c r="K103" s="25">
        <v>1.0000013214302274E-2</v>
      </c>
      <c r="L103" s="25">
        <v>1.000014708825814E-2</v>
      </c>
      <c r="M103" s="25">
        <v>1.0000387925835425E-2</v>
      </c>
      <c r="N103" s="21">
        <v>2.2012669383612075E-2</v>
      </c>
      <c r="P103" s="27">
        <f t="array" ref="P103">SQRT(MMULT($E103:$N103,MMULT($G$5:$P$14,TRANSPOSE($E103:$N103))))-B103</f>
        <v>0</v>
      </c>
      <c r="Q103" s="27">
        <f t="shared" si="0"/>
        <v>0</v>
      </c>
      <c r="R103" s="27">
        <f t="array" ref="R103">SUM(IF($E103:$N103&lt;TRANSPOSE($D$5:$D$14),1,"-"))+SUM(IF($E103:$N103&gt;TRANSPOSE($E$5:$E$14),1,"-"))</f>
        <v>0</v>
      </c>
      <c r="S103" s="27">
        <f t="array" ref="S103">SUM(IF(MMULT($E103:$N103,$C$18:$F$27)&lt;$C$31:$F$31,1,"-"))+SUM(IF(MMULT($E103:$N103,$C$18:$F$27)&gt;$C$32:$F$32,1,"-"))</f>
        <v>0</v>
      </c>
      <c r="T103" s="27">
        <f t="shared" si="1"/>
        <v>1.0000000000000004</v>
      </c>
      <c r="V103" s="20">
        <v>7.5153566012751652E-2</v>
      </c>
      <c r="W103" s="21">
        <v>0.11197015674568933</v>
      </c>
      <c r="X103">
        <f t="shared" si="4"/>
        <v>7.6138567268270854E-2</v>
      </c>
    </row>
    <row r="104" spans="2:24" x14ac:dyDescent="0.2">
      <c r="B104" s="60">
        <v>7.5966493030249993E-2</v>
      </c>
      <c r="C104" s="61">
        <v>0.11085195536623052</v>
      </c>
      <c r="D104">
        <v>1</v>
      </c>
      <c r="E104" s="60">
        <v>0.29732295637718453</v>
      </c>
      <c r="F104" s="61">
        <v>1.0000057420386304E-2</v>
      </c>
      <c r="G104" s="25">
        <v>3.8127777907736589E-2</v>
      </c>
      <c r="H104" s="25">
        <v>0.1545493454768628</v>
      </c>
      <c r="I104" s="25">
        <v>9.9999865324342324E-2</v>
      </c>
      <c r="J104" s="25">
        <v>0.34659048934344699</v>
      </c>
      <c r="K104" s="25">
        <v>1.0000004295098975E-2</v>
      </c>
      <c r="L104" s="25">
        <v>1.0000043931190113E-2</v>
      </c>
      <c r="M104" s="25">
        <v>1.0000202611761858E-2</v>
      </c>
      <c r="N104" s="21">
        <v>2.3409257311989444E-2</v>
      </c>
      <c r="P104" s="27">
        <f t="array" ref="P104">SQRT(MMULT($E104:$N104,MMULT($G$5:$P$14,TRANSPOSE($E104:$N104))))-B104</f>
        <v>0</v>
      </c>
      <c r="Q104" s="27">
        <f t="shared" si="0"/>
        <v>0</v>
      </c>
      <c r="R104" s="27">
        <f t="array" ref="R104">SUM(IF($E104:$N104&lt;TRANSPOSE($D$5:$D$14),1,"-"))+SUM(IF($E104:$N104&gt;TRANSPOSE($E$5:$E$14),1,"-"))</f>
        <v>0</v>
      </c>
      <c r="S104" s="27">
        <f t="array" ref="S104">SUM(IF(MMULT($E104:$N104,$C$18:$F$27)&lt;$C$31:$F$31,1,"-"))+SUM(IF(MMULT($E104:$N104,$C$18:$F$27)&gt;$C$32:$F$32,1,"-"))</f>
        <v>0</v>
      </c>
      <c r="T104" s="27">
        <f t="shared" si="1"/>
        <v>0.99999999999999978</v>
      </c>
      <c r="V104" s="20">
        <v>7.5205168910193437E-2</v>
      </c>
      <c r="W104" s="21">
        <v>0.11234011988816565</v>
      </c>
      <c r="X104">
        <f t="shared" si="4"/>
        <v>7.6197512733991987E-2</v>
      </c>
    </row>
    <row r="105" spans="2:24" x14ac:dyDescent="0.2">
      <c r="B105" s="60">
        <v>7.6014990466148666E-2</v>
      </c>
      <c r="C105" s="61">
        <v>0.11117318505073037</v>
      </c>
      <c r="D105">
        <v>1</v>
      </c>
      <c r="E105" s="60">
        <v>0.29909235461061318</v>
      </c>
      <c r="F105" s="61">
        <v>1.0000021249745226E-2</v>
      </c>
      <c r="G105" s="25">
        <v>4.1807112747395909E-2</v>
      </c>
      <c r="H105" s="25">
        <v>0.14910081814686157</v>
      </c>
      <c r="I105" s="25">
        <v>9.9999696734659915E-2</v>
      </c>
      <c r="J105" s="25">
        <v>0.34519388526100492</v>
      </c>
      <c r="K105" s="25">
        <v>1.0000007497474019E-2</v>
      </c>
      <c r="L105" s="25">
        <v>1.0000080992129968E-2</v>
      </c>
      <c r="M105" s="25">
        <v>1.0000280329337545E-2</v>
      </c>
      <c r="N105" s="21">
        <v>2.480574243077778E-2</v>
      </c>
      <c r="P105" s="27">
        <f t="array" ref="P105">SQRT(MMULT($E105:$N105,MMULT($G$5:$P$14,TRANSPOSE($E105:$N105))))-B105</f>
        <v>0</v>
      </c>
      <c r="Q105" s="27">
        <f t="shared" si="0"/>
        <v>0</v>
      </c>
      <c r="R105" s="27">
        <f t="array" ref="R105">SUM(IF($E105:$N105&lt;TRANSPOSE($D$5:$D$14),1,"-"))+SUM(IF($E105:$N105&gt;TRANSPOSE($E$5:$E$14),1,"-"))</f>
        <v>0</v>
      </c>
      <c r="S105" s="27">
        <f t="array" ref="S105">SUM(IF(MMULT($E105:$N105,$C$18:$F$27)&lt;$C$31:$F$31,1,"-"))+SUM(IF(MMULT($E105:$N105,$C$18:$F$27)&gt;$C$32:$F$32,1,"-"))</f>
        <v>0</v>
      </c>
      <c r="T105" s="27">
        <f t="shared" si="1"/>
        <v>1</v>
      </c>
      <c r="V105" s="20">
        <v>7.5257792684596245E-2</v>
      </c>
      <c r="W105" s="21">
        <v>0.11271008303064198</v>
      </c>
      <c r="X105">
        <f t="shared" si="4"/>
        <v>7.6257455118578094E-2</v>
      </c>
    </row>
    <row r="106" spans="2:24" x14ac:dyDescent="0.2">
      <c r="B106" s="60">
        <v>7.606423734420685E-2</v>
      </c>
      <c r="C106" s="61">
        <v>0.11149441473523025</v>
      </c>
      <c r="D106">
        <v>1</v>
      </c>
      <c r="E106" s="60">
        <v>0.30086249426740402</v>
      </c>
      <c r="F106" s="61">
        <v>1.0000016678979519E-2</v>
      </c>
      <c r="G106" s="25">
        <v>4.5485248495373831E-2</v>
      </c>
      <c r="H106" s="25">
        <v>0.14365225782816876</v>
      </c>
      <c r="I106" s="25">
        <v>9.9999984388946764E-2</v>
      </c>
      <c r="J106" s="25">
        <v>0.34379754293742704</v>
      </c>
      <c r="K106" s="25">
        <v>1.0000002037542413E-2</v>
      </c>
      <c r="L106" s="25">
        <v>1.0000012474757508E-2</v>
      </c>
      <c r="M106" s="25">
        <v>1.0000049444629521E-2</v>
      </c>
      <c r="N106" s="21">
        <v>2.6202391446770723E-2</v>
      </c>
      <c r="P106" s="27">
        <f t="array" ref="P106">SQRT(MMULT($E106:$N106,MMULT($G$5:$P$14,TRANSPOSE($E106:$N106))))-B106</f>
        <v>0</v>
      </c>
      <c r="Q106" s="27">
        <f t="shared" ref="Q106:Q144" si="5">MMULT($E106:$N106,$B$5:$B$14)-C106</f>
        <v>0</v>
      </c>
      <c r="R106" s="27">
        <f t="array" ref="R106">SUM(IF($E106:$N106&lt;TRANSPOSE($D$5:$D$14),1,"-"))+SUM(IF($E106:$N106&gt;TRANSPOSE($E$5:$E$14),1,"-"))</f>
        <v>0</v>
      </c>
      <c r="S106" s="27">
        <f t="array" ref="S106">SUM(IF(MMULT($E106:$N106,$C$18:$F$27)&lt;$C$31:$F$31,1,"-"))+SUM(IF(MMULT($E106:$N106,$C$18:$F$27)&gt;$C$32:$F$32,1,"-"))</f>
        <v>0</v>
      </c>
      <c r="T106" s="27">
        <f t="shared" ref="T106:T144" si="6">SUM(E106:N106)</f>
        <v>1</v>
      </c>
      <c r="V106" s="20">
        <v>7.531143519593772E-2</v>
      </c>
      <c r="W106" s="21">
        <v>0.11308004617311829</v>
      </c>
      <c r="X106">
        <f t="shared" si="4"/>
        <v>7.6318392763010723E-2</v>
      </c>
    </row>
    <row r="107" spans="2:24" x14ac:dyDescent="0.2">
      <c r="B107" s="60">
        <v>7.6114245140741388E-2</v>
      </c>
      <c r="C107" s="61">
        <v>0.11181564441973013</v>
      </c>
      <c r="D107">
        <v>1</v>
      </c>
      <c r="E107" s="60">
        <v>0.3026305264497679</v>
      </c>
      <c r="F107" s="61">
        <v>1.0000015958844888E-2</v>
      </c>
      <c r="G107" s="25">
        <v>4.9164604426928368E-2</v>
      </c>
      <c r="H107" s="25">
        <v>0.13820487207462925</v>
      </c>
      <c r="I107" s="25">
        <v>9.9999982626583425E-2</v>
      </c>
      <c r="J107" s="25">
        <v>0.34239633568978167</v>
      </c>
      <c r="K107" s="25">
        <v>1.000000204421668E-2</v>
      </c>
      <c r="L107" s="25">
        <v>1.0000015731447065E-2</v>
      </c>
      <c r="M107" s="25">
        <v>1.0000078778596296E-2</v>
      </c>
      <c r="N107" s="21">
        <v>2.7603566219204484E-2</v>
      </c>
      <c r="P107" s="27">
        <f t="array" ref="P107">SQRT(MMULT($E107:$N107,MMULT($G$5:$P$14,TRANSPOSE($E107:$N107))))-B107</f>
        <v>0</v>
      </c>
      <c r="Q107" s="27">
        <f t="shared" si="5"/>
        <v>0</v>
      </c>
      <c r="R107" s="27">
        <f t="array" ref="R107">SUM(IF($E107:$N107&lt;TRANSPOSE($D$5:$D$14),1,"-"))+SUM(IF($E107:$N107&gt;TRANSPOSE($E$5:$E$14),1,"-"))</f>
        <v>0</v>
      </c>
      <c r="S107" s="27">
        <f t="array" ref="S107">SUM(IF(MMULT($E107:$N107,$C$18:$F$27)&lt;$C$31:$F$31,1,"-"))+SUM(IF(MMULT($E107:$N107,$C$18:$F$27)&gt;$C$32:$F$32,1,"-"))</f>
        <v>0</v>
      </c>
      <c r="T107" s="27">
        <f t="shared" si="6"/>
        <v>1</v>
      </c>
      <c r="V107" s="20">
        <v>7.5366094268931719E-2</v>
      </c>
      <c r="W107" s="21">
        <v>0.11345000931559461</v>
      </c>
      <c r="X107">
        <f t="shared" si="4"/>
        <v>7.6380322755326718E-2</v>
      </c>
    </row>
    <row r="108" spans="2:24" x14ac:dyDescent="0.2">
      <c r="B108" s="60">
        <v>7.6165006084163239E-2</v>
      </c>
      <c r="C108" s="61">
        <v>0.11213687410423</v>
      </c>
      <c r="D108">
        <v>1</v>
      </c>
      <c r="E108" s="60">
        <v>0.30439887133845267</v>
      </c>
      <c r="F108" s="61">
        <v>1.0000010022165096E-2</v>
      </c>
      <c r="G108" s="25">
        <v>5.2843776942393755E-2</v>
      </c>
      <c r="H108" s="25">
        <v>0.13275735679561293</v>
      </c>
      <c r="I108" s="25">
        <v>9.9999986117348255E-2</v>
      </c>
      <c r="J108" s="25">
        <v>0.34099604358497076</v>
      </c>
      <c r="K108" s="25">
        <v>1.0000001472356216E-2</v>
      </c>
      <c r="L108" s="25">
        <v>1.0000008055563352E-2</v>
      </c>
      <c r="M108" s="25">
        <v>1.0000029672807654E-2</v>
      </c>
      <c r="N108" s="21">
        <v>2.9003915998329334E-2</v>
      </c>
      <c r="P108" s="27">
        <f t="array" ref="P108">SQRT(MMULT($E108:$N108,MMULT($G$5:$P$14,TRANSPOSE($E108:$N108))))-B108</f>
        <v>0</v>
      </c>
      <c r="Q108" s="27">
        <f t="shared" si="5"/>
        <v>0</v>
      </c>
      <c r="R108" s="27">
        <f t="array" ref="R108">SUM(IF($E108:$N108&lt;TRANSPOSE($D$5:$D$14),1,"-"))+SUM(IF($E108:$N108&gt;TRANSPOSE($E$5:$E$14),1,"-"))</f>
        <v>0</v>
      </c>
      <c r="S108" s="27">
        <f t="array" ref="S108">SUM(IF(MMULT($E108:$N108,$C$18:$F$27)&lt;$C$31:$F$31,1,"-"))+SUM(IF(MMULT($E108:$N108,$C$18:$F$27)&gt;$C$32:$F$32,1,"-"))</f>
        <v>0</v>
      </c>
      <c r="T108" s="27">
        <f t="shared" si="6"/>
        <v>1.0000000000000002</v>
      </c>
      <c r="V108" s="20">
        <v>7.542176769343438E-2</v>
      </c>
      <c r="W108" s="21">
        <v>0.11381997245807098</v>
      </c>
      <c r="X108">
        <f t="shared" si="4"/>
        <v>7.6443242602053832E-2</v>
      </c>
    </row>
    <row r="109" spans="2:24" x14ac:dyDescent="0.2">
      <c r="B109" s="60">
        <v>7.6216562475338256E-2</v>
      </c>
      <c r="C109" s="61">
        <v>0.11245810378872945</v>
      </c>
      <c r="D109">
        <v>1</v>
      </c>
      <c r="E109" s="60">
        <v>0.30615046421341585</v>
      </c>
      <c r="F109" s="61">
        <v>1.0001114242277311E-2</v>
      </c>
      <c r="G109" s="25">
        <v>5.6530656876416389E-2</v>
      </c>
      <c r="H109" s="25">
        <v>0.12731895889016134</v>
      </c>
      <c r="I109" s="25">
        <v>9.9998827505104249E-2</v>
      </c>
      <c r="J109" s="25">
        <v>0.33954948092699888</v>
      </c>
      <c r="K109" s="25">
        <v>1.0000029459777255E-2</v>
      </c>
      <c r="L109" s="25">
        <v>1.0000531951354587E-2</v>
      </c>
      <c r="M109" s="25">
        <v>1.0001709527854412E-2</v>
      </c>
      <c r="N109" s="21">
        <v>3.0448226406639703E-2</v>
      </c>
      <c r="P109" s="27">
        <f t="array" ref="P109">SQRT(MMULT($E109:$N109,MMULT($G$5:$P$14,TRANSPOSE($E109:$N109))))-B109</f>
        <v>0</v>
      </c>
      <c r="Q109" s="27">
        <f t="shared" si="5"/>
        <v>0</v>
      </c>
      <c r="R109" s="27">
        <f t="array" ref="R109">SUM(IF($E109:$N109&lt;TRANSPOSE($D$5:$D$14),1,"-"))+SUM(IF($E109:$N109&gt;TRANSPOSE($E$5:$E$14),1,"-"))</f>
        <v>0</v>
      </c>
      <c r="S109" s="27">
        <f t="array" ref="S109">SUM(IF(MMULT($E109:$N109,$C$18:$F$27)&lt;$C$31:$F$31,1,"-"))+SUM(IF(MMULT($E109:$N109,$C$18:$F$27)&gt;$C$32:$F$32,1,"-"))</f>
        <v>0</v>
      </c>
      <c r="T109" s="27">
        <f t="shared" si="6"/>
        <v>1</v>
      </c>
      <c r="V109" s="20">
        <v>7.5478453224885347E-2</v>
      </c>
      <c r="W109" s="21">
        <v>0.11418993560054727</v>
      </c>
      <c r="X109">
        <f t="shared" ref="X109:X143" si="7">EfficientFrontier3($G$5:$P$14,$B$5:$B$14,$D$5:$D$14,$E$5:$E$14,$C$18:$F$27,$C$31:$F$31,$C$32:$F$32,"TGT_RETURN",,,W109)</f>
        <v>7.6507149805804975E-2</v>
      </c>
    </row>
    <row r="110" spans="2:24" x14ac:dyDescent="0.2">
      <c r="B110" s="60">
        <v>7.6268785418764848E-2</v>
      </c>
      <c r="C110" s="61">
        <v>0.11277933347322977</v>
      </c>
      <c r="D110">
        <v>1</v>
      </c>
      <c r="E110" s="60">
        <v>0.30793468713169569</v>
      </c>
      <c r="F110" s="61">
        <v>1.0000009342168199E-2</v>
      </c>
      <c r="G110" s="25">
        <v>6.0202496830770523E-2</v>
      </c>
      <c r="H110" s="25">
        <v>0.12186282447419899</v>
      </c>
      <c r="I110" s="25">
        <v>9.9999983772021156E-2</v>
      </c>
      <c r="J110" s="25">
        <v>0.33819289824654891</v>
      </c>
      <c r="K110" s="25">
        <v>1.0000002032657827E-2</v>
      </c>
      <c r="L110" s="25">
        <v>1.0000011740123481E-2</v>
      </c>
      <c r="M110" s="25">
        <v>1.0000052323065778E-2</v>
      </c>
      <c r="N110" s="21">
        <v>3.1807034106749454E-2</v>
      </c>
      <c r="P110" s="27">
        <f t="array" ref="P110">SQRT(MMULT($E110:$N110,MMULT($G$5:$P$14,TRANSPOSE($E110:$N110))))-B110</f>
        <v>0</v>
      </c>
      <c r="Q110" s="27">
        <f t="shared" si="5"/>
        <v>0</v>
      </c>
      <c r="R110" s="27">
        <f t="array" ref="R110">SUM(IF($E110:$N110&lt;TRANSPOSE($D$5:$D$14),1,"-"))+SUM(IF($E110:$N110&gt;TRANSPOSE($E$5:$E$14),1,"-"))</f>
        <v>0</v>
      </c>
      <c r="S110" s="27">
        <f t="array" ref="S110">SUM(IF(MMULT($E110:$N110,$C$18:$F$27)&lt;$C$31:$F$31,1,"-"))+SUM(IF(MMULT($E110:$N110,$C$18:$F$27)&gt;$C$32:$F$32,1,"-"))</f>
        <v>0</v>
      </c>
      <c r="T110" s="27">
        <f t="shared" si="6"/>
        <v>0.99999999999999989</v>
      </c>
      <c r="V110" s="20">
        <v>7.5536148584665605E-2</v>
      </c>
      <c r="W110" s="21">
        <v>0.11455989874302358</v>
      </c>
      <c r="X110">
        <f t="shared" si="7"/>
        <v>7.6572041829796045E-2</v>
      </c>
    </row>
    <row r="111" spans="2:24" x14ac:dyDescent="0.2">
      <c r="B111" s="60">
        <v>7.6321800667281239E-2</v>
      </c>
      <c r="C111" s="61">
        <v>0.11310056315772965</v>
      </c>
      <c r="D111">
        <v>1</v>
      </c>
      <c r="E111" s="60">
        <v>0.30970243373813056</v>
      </c>
      <c r="F111" s="61">
        <v>1.0000016866779952E-2</v>
      </c>
      <c r="G111" s="25">
        <v>6.3881966856239716E-2</v>
      </c>
      <c r="H111" s="25">
        <v>0.11641560718364746</v>
      </c>
      <c r="I111" s="25">
        <v>9.9999976329393697E-2</v>
      </c>
      <c r="J111" s="25">
        <v>0.33679064926104824</v>
      </c>
      <c r="K111" s="25">
        <v>1.0000001580501201E-2</v>
      </c>
      <c r="L111" s="25">
        <v>1.0000023120344773E-2</v>
      </c>
      <c r="M111" s="25">
        <v>1.0000133045306931E-2</v>
      </c>
      <c r="N111" s="21">
        <v>3.320919201860751E-2</v>
      </c>
      <c r="P111" s="27">
        <f t="array" ref="P111">SQRT(MMULT($E111:$N111,MMULT($G$5:$P$14,TRANSPOSE($E111:$N111))))-B111</f>
        <v>0</v>
      </c>
      <c r="Q111" s="27">
        <f t="shared" si="5"/>
        <v>0</v>
      </c>
      <c r="R111" s="27">
        <f t="array" ref="R111">SUM(IF($E111:$N111&lt;TRANSPOSE($D$5:$D$14),1,"-"))+SUM(IF($E111:$N111&gt;TRANSPOSE($E$5:$E$14),1,"-"))</f>
        <v>0</v>
      </c>
      <c r="S111" s="27">
        <f t="array" ref="S111">SUM(IF(MMULT($E111:$N111,$C$18:$F$27)&lt;$C$31:$F$31,1,"-"))+SUM(IF(MMULT($E111:$N111,$C$18:$F$27)&gt;$C$32:$F$32,1,"-"))</f>
        <v>0</v>
      </c>
      <c r="T111" s="27">
        <f t="shared" si="6"/>
        <v>1</v>
      </c>
      <c r="V111" s="20">
        <v>7.5594851460634924E-2</v>
      </c>
      <c r="W111" s="21">
        <v>0.1149298618854999</v>
      </c>
      <c r="X111">
        <f t="shared" si="7"/>
        <v>7.6637916126939612E-2</v>
      </c>
    </row>
    <row r="112" spans="2:24" x14ac:dyDescent="0.2">
      <c r="B112" s="60">
        <v>7.6375597598804454E-2</v>
      </c>
      <c r="C112" s="61">
        <v>0.11342179284222917</v>
      </c>
      <c r="D112">
        <v>1</v>
      </c>
      <c r="E112" s="60">
        <v>0.3114643523759606</v>
      </c>
      <c r="F112" s="61">
        <v>1.0000895553385956E-2</v>
      </c>
      <c r="G112" s="25">
        <v>6.7565596410584475E-2</v>
      </c>
      <c r="H112" s="25">
        <v>0.11097016770751769</v>
      </c>
      <c r="I112" s="25">
        <v>9.9999000368643676E-2</v>
      </c>
      <c r="J112" s="25">
        <v>0.33537228679229952</v>
      </c>
      <c r="K112" s="25">
        <v>1.0000021631832641E-2</v>
      </c>
      <c r="L112" s="25">
        <v>1.0000444045848621E-2</v>
      </c>
      <c r="M112" s="25">
        <v>1.0001455181112845E-2</v>
      </c>
      <c r="N112" s="21">
        <v>3.4625779932814203E-2</v>
      </c>
      <c r="P112" s="27">
        <f t="array" ref="P112">SQRT(MMULT($E112:$N112,MMULT($G$5:$P$14,TRANSPOSE($E112:$N112))))-B112</f>
        <v>0</v>
      </c>
      <c r="Q112" s="27">
        <f t="shared" si="5"/>
        <v>0</v>
      </c>
      <c r="R112" s="27">
        <f t="array" ref="R112">SUM(IF($E112:$N112&lt;TRANSPOSE($D$5:$D$14),1,"-"))+SUM(IF($E112:$N112&gt;TRANSPOSE($E$5:$E$14),1,"-"))</f>
        <v>0</v>
      </c>
      <c r="S112" s="27">
        <f t="array" ref="S112">SUM(IF(MMULT($E112:$N112,$C$18:$F$27)&lt;$C$31:$F$31,1,"-"))+SUM(IF(MMULT($E112:$N112,$C$18:$F$27)&gt;$C$32:$F$32,1,"-"))</f>
        <v>0</v>
      </c>
      <c r="T112" s="27">
        <f t="shared" si="6"/>
        <v>1.0000000000000002</v>
      </c>
      <c r="V112" s="20">
        <v>7.5654559507498026E-2</v>
      </c>
      <c r="W112" s="21">
        <v>0.11529982502797621</v>
      </c>
      <c r="X112">
        <f t="shared" si="7"/>
        <v>7.6704770291239441E-2</v>
      </c>
    </row>
    <row r="113" spans="2:24" x14ac:dyDescent="0.2">
      <c r="B113" s="60">
        <v>7.6430090498440129E-2</v>
      </c>
      <c r="C113" s="61">
        <v>0.11374302252672901</v>
      </c>
      <c r="D113">
        <v>1</v>
      </c>
      <c r="E113" s="60">
        <v>0.31323551558495105</v>
      </c>
      <c r="F113" s="61">
        <v>1.0000516832980576E-2</v>
      </c>
      <c r="G113" s="25">
        <v>7.124264520807233E-2</v>
      </c>
      <c r="H113" s="25">
        <v>0.10552216544540108</v>
      </c>
      <c r="I113" s="25">
        <v>9.9999169435303376E-2</v>
      </c>
      <c r="J113" s="25">
        <v>0.33398006591870799</v>
      </c>
      <c r="K113" s="25">
        <v>1.0000014662147927E-2</v>
      </c>
      <c r="L113" s="25">
        <v>1.0000200457121846E-2</v>
      </c>
      <c r="M113" s="25">
        <v>1.0000560985535064E-2</v>
      </c>
      <c r="N113" s="21">
        <v>3.601914546977892E-2</v>
      </c>
      <c r="P113" s="27">
        <f t="array" ref="P113">SQRT(MMULT($E113:$N113,MMULT($G$5:$P$14,TRANSPOSE($E113:$N113))))-B113</f>
        <v>0</v>
      </c>
      <c r="Q113" s="27">
        <f t="shared" si="5"/>
        <v>0</v>
      </c>
      <c r="R113" s="27">
        <f t="array" ref="R113">SUM(IF($E113:$N113&lt;TRANSPOSE($D$5:$D$14),1,"-"))+SUM(IF($E113:$N113&gt;TRANSPOSE($E$5:$E$14),1,"-"))</f>
        <v>0</v>
      </c>
      <c r="S113" s="27">
        <f t="array" ref="S113">SUM(IF(MMULT($E113:$N113,$C$18:$F$27)&lt;$C$31:$F$31,1,"-"))+SUM(IF(MMULT($E113:$N113,$C$18:$F$27)&gt;$C$32:$F$32,1,"-"))</f>
        <v>0</v>
      </c>
      <c r="T113" s="27">
        <f t="shared" si="6"/>
        <v>1.0000000000000002</v>
      </c>
      <c r="V113" s="20">
        <v>7.5715270347261998E-2</v>
      </c>
      <c r="W113" s="21">
        <v>0.11566978817045256</v>
      </c>
      <c r="X113">
        <f t="shared" si="7"/>
        <v>7.6772601708151089E-2</v>
      </c>
    </row>
    <row r="114" spans="2:24" x14ac:dyDescent="0.2">
      <c r="B114" s="60">
        <v>7.6485352274107049E-2</v>
      </c>
      <c r="C114" s="61">
        <v>0.11406425221122898</v>
      </c>
      <c r="D114">
        <v>1</v>
      </c>
      <c r="E114" s="60">
        <v>0.31500246931813264</v>
      </c>
      <c r="F114" s="61">
        <v>1.0000709011676568E-2</v>
      </c>
      <c r="G114" s="25">
        <v>7.4922963901608908E-2</v>
      </c>
      <c r="H114" s="25">
        <v>0.10007481579677377</v>
      </c>
      <c r="I114" s="25">
        <v>9.9999050052244493E-2</v>
      </c>
      <c r="J114" s="25">
        <v>0.33257502592532701</v>
      </c>
      <c r="K114" s="25">
        <v>1.0000016177907634E-2</v>
      </c>
      <c r="L114" s="25">
        <v>1.0000326336863728E-2</v>
      </c>
      <c r="M114" s="25">
        <v>1.0001050960821319E-2</v>
      </c>
      <c r="N114" s="21">
        <v>3.7423572518643963E-2</v>
      </c>
      <c r="P114" s="27">
        <f t="array" ref="P114">SQRT(MMULT($E114:$N114,MMULT($G$5:$P$14,TRANSPOSE($E114:$N114))))-B114</f>
        <v>0</v>
      </c>
      <c r="Q114" s="27">
        <f t="shared" si="5"/>
        <v>0</v>
      </c>
      <c r="R114" s="27">
        <f t="array" ref="R114">SUM(IF($E114:$N114&lt;TRANSPOSE($D$5:$D$14),1,"-"))+SUM(IF($E114:$N114&gt;TRANSPOSE($E$5:$E$14),1,"-"))</f>
        <v>0</v>
      </c>
      <c r="S114" s="27">
        <f t="array" ref="S114">SUM(IF(MMULT($E114:$N114,$C$18:$F$27)&lt;$C$31:$F$31,1,"-"))+SUM(IF(MMULT($E114:$N114,$C$18:$F$27)&gt;$C$32:$F$32,1,"-"))</f>
        <v>0</v>
      </c>
      <c r="T114" s="27">
        <f t="shared" si="6"/>
        <v>1.0000000000000002</v>
      </c>
      <c r="V114" s="20">
        <v>7.5776981569680518E-2</v>
      </c>
      <c r="W114" s="21">
        <v>0.11603975131292889</v>
      </c>
      <c r="X114">
        <f t="shared" si="7"/>
        <v>7.6841407358795188E-2</v>
      </c>
    </row>
    <row r="115" spans="2:24" x14ac:dyDescent="0.2">
      <c r="B115" s="60">
        <v>7.6541351010583791E-2</v>
      </c>
      <c r="C115" s="61">
        <v>0.11438548189572886</v>
      </c>
      <c r="D115">
        <v>1</v>
      </c>
      <c r="E115" s="60">
        <v>0.31677051222519348</v>
      </c>
      <c r="F115" s="61">
        <v>1.0000644938913948E-2</v>
      </c>
      <c r="G115" s="25">
        <v>7.86025263174953E-2</v>
      </c>
      <c r="H115" s="25">
        <v>9.462736075324614E-2</v>
      </c>
      <c r="I115" s="25">
        <v>9.9998963706538088E-2</v>
      </c>
      <c r="J115" s="25">
        <v>0.33117323348878269</v>
      </c>
      <c r="K115" s="25">
        <v>1.0000016585593676E-2</v>
      </c>
      <c r="L115" s="25">
        <v>1.0000329755080906E-2</v>
      </c>
      <c r="M115" s="25">
        <v>1.0001276025916815E-2</v>
      </c>
      <c r="N115" s="21">
        <v>3.8825136203238887E-2</v>
      </c>
      <c r="P115" s="27">
        <f t="array" ref="P115">SQRT(MMULT($E115:$N115,MMULT($G$5:$P$14,TRANSPOSE($E115:$N115))))-B115</f>
        <v>0</v>
      </c>
      <c r="Q115" s="27">
        <f t="shared" si="5"/>
        <v>0</v>
      </c>
      <c r="R115" s="27">
        <f t="array" ref="R115">SUM(IF($E115:$N115&lt;TRANSPOSE($D$5:$D$14),1,"-"))+SUM(IF($E115:$N115&gt;TRANSPOSE($E$5:$E$14),1,"-"))</f>
        <v>0</v>
      </c>
      <c r="S115" s="27">
        <f t="array" ref="S115">SUM(IF(MMULT($E115:$N115,$C$18:$F$27)&lt;$C$31:$F$31,1,"-"))+SUM(IF(MMULT($E115:$N115,$C$18:$F$27)&gt;$C$32:$F$32,1,"-"))</f>
        <v>0</v>
      </c>
      <c r="T115" s="27">
        <f t="shared" si="6"/>
        <v>1</v>
      </c>
      <c r="V115" s="20">
        <v>7.5839690732734499E-2</v>
      </c>
      <c r="W115" s="21">
        <v>0.11640971445540518</v>
      </c>
      <c r="X115">
        <f t="shared" si="7"/>
        <v>7.6911184400284063E-2</v>
      </c>
    </row>
    <row r="116" spans="2:24" x14ac:dyDescent="0.2">
      <c r="B116" s="60">
        <v>7.6598114204270151E-2</v>
      </c>
      <c r="C116" s="61">
        <v>0.1147067115802287</v>
      </c>
      <c r="D116">
        <v>1</v>
      </c>
      <c r="E116" s="60">
        <v>0.31853663236981394</v>
      </c>
      <c r="F116" s="61">
        <v>1.0000726676920564E-2</v>
      </c>
      <c r="G116" s="25">
        <v>8.2284606435702914E-2</v>
      </c>
      <c r="H116" s="25">
        <v>8.9179450444257291E-2</v>
      </c>
      <c r="I116" s="25">
        <v>9.9998599985868117E-2</v>
      </c>
      <c r="J116" s="25">
        <v>0.3297624588429654</v>
      </c>
      <c r="K116" s="25">
        <v>1.0000031905138073E-2</v>
      </c>
      <c r="L116" s="25">
        <v>1.0000555028190677E-2</v>
      </c>
      <c r="M116" s="25">
        <v>1.0003144953540077E-2</v>
      </c>
      <c r="N116" s="21">
        <v>4.0233793357602868E-2</v>
      </c>
      <c r="P116" s="27">
        <f t="array" ref="P116">SQRT(MMULT($E116:$N116,MMULT($G$5:$P$14,TRANSPOSE($E116:$N116))))-B116</f>
        <v>0</v>
      </c>
      <c r="Q116" s="27">
        <f t="shared" si="5"/>
        <v>0</v>
      </c>
      <c r="R116" s="27">
        <f t="array" ref="R116">SUM(IF($E116:$N116&lt;TRANSPOSE($D$5:$D$14),1,"-"))+SUM(IF($E116:$N116&gt;TRANSPOSE($E$5:$E$14),1,"-"))</f>
        <v>0</v>
      </c>
      <c r="S116" s="27">
        <f t="array" ref="S116">SUM(IF(MMULT($E116:$N116,$C$18:$F$27)&lt;$C$31:$F$31,1,"-"))+SUM(IF(MMULT($E116:$N116,$C$18:$F$27)&gt;$C$32:$F$32,1,"-"))</f>
        <v>0</v>
      </c>
      <c r="T116" s="27">
        <f t="shared" si="6"/>
        <v>1</v>
      </c>
      <c r="V116" s="20">
        <v>7.590339536289821E-2</v>
      </c>
      <c r="W116" s="21">
        <v>0.11677967759788151</v>
      </c>
      <c r="X116">
        <f t="shared" si="7"/>
        <v>7.6981930261795908E-2</v>
      </c>
    </row>
    <row r="117" spans="2:24" x14ac:dyDescent="0.2">
      <c r="B117" s="60">
        <v>7.665553561883115E-2</v>
      </c>
      <c r="C117" s="61">
        <v>0.11502794126472879</v>
      </c>
      <c r="D117">
        <v>1</v>
      </c>
      <c r="E117" s="60">
        <v>0.32031018523215538</v>
      </c>
      <c r="F117" s="61">
        <v>1.0000005851840264E-2</v>
      </c>
      <c r="G117" s="25">
        <v>8.5957865082298107E-2</v>
      </c>
      <c r="H117" s="25">
        <v>8.3731965092095878E-2</v>
      </c>
      <c r="I117" s="25">
        <v>9.9999979374773812E-2</v>
      </c>
      <c r="J117" s="25">
        <v>0.32838217495249589</v>
      </c>
      <c r="K117" s="25">
        <v>1.0000001110847244E-2</v>
      </c>
      <c r="L117" s="25">
        <v>1.0000012709013666E-2</v>
      </c>
      <c r="M117" s="25">
        <v>1.0000066743708133E-2</v>
      </c>
      <c r="N117" s="21">
        <v>4.1617743850771723E-2</v>
      </c>
      <c r="P117" s="27">
        <f t="array" ref="P117">SQRT(MMULT($E117:$N117,MMULT($G$5:$P$14,TRANSPOSE($E117:$N117))))-B117</f>
        <v>0</v>
      </c>
      <c r="Q117" s="27">
        <f t="shared" si="5"/>
        <v>0</v>
      </c>
      <c r="R117" s="27">
        <f t="array" ref="R117">SUM(IF($E117:$N117&lt;TRANSPOSE($D$5:$D$14),1,"-"))+SUM(IF($E117:$N117&gt;TRANSPOSE($E$5:$E$14),1,"-"))</f>
        <v>0</v>
      </c>
      <c r="S117" s="27">
        <f t="array" ref="S117">SUM(IF(MMULT($E117:$N117,$C$18:$F$27)&lt;$C$31:$F$31,1,"-"))+SUM(IF(MMULT($E117:$N117,$C$18:$F$27)&gt;$C$32:$F$32,1,"-"))</f>
        <v>0</v>
      </c>
      <c r="T117" s="27">
        <f t="shared" si="6"/>
        <v>1</v>
      </c>
      <c r="V117" s="20">
        <v>7.5968092955997768E-2</v>
      </c>
      <c r="W117" s="21">
        <v>0.11714964074035784</v>
      </c>
      <c r="X117">
        <f t="shared" si="7"/>
        <v>7.705364350955457E-2</v>
      </c>
    </row>
    <row r="118" spans="2:24" x14ac:dyDescent="0.2">
      <c r="B118" s="60">
        <v>7.6713754452106653E-2</v>
      </c>
      <c r="C118" s="61">
        <v>0.11534917094922839</v>
      </c>
      <c r="D118">
        <v>1</v>
      </c>
      <c r="E118" s="60">
        <v>0.32207786562584323</v>
      </c>
      <c r="F118" s="61">
        <v>1.0000039447183315E-2</v>
      </c>
      <c r="G118" s="25">
        <v>8.9637466310701561E-2</v>
      </c>
      <c r="H118" s="25">
        <v>7.8284668848986577E-2</v>
      </c>
      <c r="I118" s="25">
        <v>9.9999964516711587E-2</v>
      </c>
      <c r="J118" s="25">
        <v>0.32697983324379193</v>
      </c>
      <c r="K118" s="25">
        <v>1.0000008526813044E-2</v>
      </c>
      <c r="L118" s="25">
        <v>1.0000063345702775E-2</v>
      </c>
      <c r="M118" s="25">
        <v>1.0000170408988649E-2</v>
      </c>
      <c r="N118" s="21">
        <v>4.3019919725277245E-2</v>
      </c>
      <c r="P118" s="27">
        <f t="array" ref="P118">SQRT(MMULT($E118:$N118,MMULT($G$5:$P$14,TRANSPOSE($E118:$N118))))-B118</f>
        <v>0</v>
      </c>
      <c r="Q118" s="27">
        <f t="shared" si="5"/>
        <v>0</v>
      </c>
      <c r="R118" s="27">
        <f t="array" ref="R118">SUM(IF($E118:$N118&lt;TRANSPOSE($D$5:$D$14),1,"-"))+SUM(IF($E118:$N118&gt;TRANSPOSE($E$5:$E$14),1,"-"))</f>
        <v>0</v>
      </c>
      <c r="S118" s="27">
        <f t="array" ref="S118">SUM(IF(MMULT($E118:$N118,$C$18:$F$27)&lt;$C$31:$F$31,1,"-"))+SUM(IF(MMULT($E118:$N118,$C$18:$F$27)&gt;$C$32:$F$32,1,"-"))</f>
        <v>0</v>
      </c>
      <c r="T118" s="27">
        <f t="shared" si="6"/>
        <v>0.99999999999999978</v>
      </c>
      <c r="V118" s="20">
        <v>7.6033780977228252E-2</v>
      </c>
      <c r="W118" s="21">
        <v>0.11751960388283418</v>
      </c>
      <c r="X118">
        <f t="shared" si="7"/>
        <v>7.7126322679346548E-2</v>
      </c>
    </row>
    <row r="119" spans="2:24" x14ac:dyDescent="0.2">
      <c r="B119" s="60">
        <v>7.6772748230354709E-2</v>
      </c>
      <c r="C119" s="61">
        <v>0.11567040063372476</v>
      </c>
      <c r="D119">
        <v>1</v>
      </c>
      <c r="E119" s="60">
        <v>0.3238397414141605</v>
      </c>
      <c r="F119" s="61">
        <v>1.0000317965854568E-2</v>
      </c>
      <c r="G119" s="25">
        <v>9.332171590008341E-2</v>
      </c>
      <c r="H119" s="25">
        <v>7.2839457933687374E-2</v>
      </c>
      <c r="I119" s="25">
        <v>9.9998789537710395E-2</v>
      </c>
      <c r="J119" s="25">
        <v>0.32556178679268305</v>
      </c>
      <c r="K119" s="25">
        <v>1.0000065574883581E-2</v>
      </c>
      <c r="L119" s="25">
        <v>1.0000609685709776E-2</v>
      </c>
      <c r="M119" s="25">
        <v>1.0001706144819336E-2</v>
      </c>
      <c r="N119" s="21">
        <v>4.4435809050408073E-2</v>
      </c>
      <c r="P119" s="27">
        <f t="array" ref="P119">SQRT(MMULT($E119:$N119,MMULT($G$5:$P$14,TRANSPOSE($E119:$N119))))-B119</f>
        <v>0</v>
      </c>
      <c r="Q119" s="27">
        <f t="shared" si="5"/>
        <v>0</v>
      </c>
      <c r="R119" s="27">
        <f t="array" ref="R119">SUM(IF($E119:$N119&lt;TRANSPOSE($D$5:$D$14),1,"-"))+SUM(IF($E119:$N119&gt;TRANSPOSE($E$5:$E$14),1,"-"))</f>
        <v>0</v>
      </c>
      <c r="S119" s="27">
        <f t="array" ref="S119">SUM(IF(MMULT($E119:$N119,$C$18:$F$27)&lt;$C$31:$F$31,1,"-"))+SUM(IF(MMULT($E119:$N119,$C$18:$F$27)&gt;$C$32:$F$32,1,"-"))</f>
        <v>0</v>
      </c>
      <c r="T119" s="27">
        <f t="shared" si="6"/>
        <v>1</v>
      </c>
      <c r="V119" s="20">
        <v>7.6100456861850879E-2</v>
      </c>
      <c r="W119" s="21">
        <v>0.11788956702531049</v>
      </c>
      <c r="X119">
        <f t="shared" si="7"/>
        <v>7.7199968203583533E-2</v>
      </c>
    </row>
    <row r="120" spans="2:24" x14ac:dyDescent="0.2">
      <c r="B120" s="60">
        <v>7.6832430672410079E-2</v>
      </c>
      <c r="C120" s="61">
        <v>0.11599163031822489</v>
      </c>
      <c r="D120">
        <v>1</v>
      </c>
      <c r="E120" s="60">
        <v>0.32560746197116575</v>
      </c>
      <c r="F120" s="61">
        <v>1.0000306609074257E-2</v>
      </c>
      <c r="G120" s="25">
        <v>9.7000779735781667E-2</v>
      </c>
      <c r="H120" s="25">
        <v>6.739253958882277E-2</v>
      </c>
      <c r="I120" s="25">
        <v>9.9998931207292516E-2</v>
      </c>
      <c r="J120" s="25">
        <v>0.32416141824896672</v>
      </c>
      <c r="K120" s="25">
        <v>1.0000063246067026E-2</v>
      </c>
      <c r="L120" s="25">
        <v>1.0000620443066675E-2</v>
      </c>
      <c r="M120" s="25">
        <v>1.0001333311980935E-2</v>
      </c>
      <c r="N120" s="21">
        <v>4.5836545637781695E-2</v>
      </c>
      <c r="P120" s="27">
        <f t="array" ref="P120">SQRT(MMULT($E120:$N120,MMULT($G$5:$P$14,TRANSPOSE($E120:$N120))))-B120</f>
        <v>0</v>
      </c>
      <c r="Q120" s="27">
        <f t="shared" si="5"/>
        <v>0</v>
      </c>
      <c r="R120" s="27">
        <f t="array" ref="R120">SUM(IF($E120:$N120&lt;TRANSPOSE($D$5:$D$14),1,"-"))+SUM(IF($E120:$N120&gt;TRANSPOSE($E$5:$E$14),1,"-"))</f>
        <v>0</v>
      </c>
      <c r="S120" s="27">
        <f t="array" ref="S120">SUM(IF(MMULT($E120:$N120,$C$18:$F$27)&lt;$C$31:$F$31,1,"-"))+SUM(IF(MMULT($E120:$N120,$C$18:$F$27)&gt;$C$32:$F$32,1,"-"))</f>
        <v>0</v>
      </c>
      <c r="T120" s="27">
        <f t="shared" si="6"/>
        <v>1</v>
      </c>
      <c r="V120" s="20">
        <v>7.6168118015604386E-2</v>
      </c>
      <c r="W120" s="21">
        <v>0.11825953016778681</v>
      </c>
      <c r="X120">
        <f t="shared" si="7"/>
        <v>7.7274578662791582E-2</v>
      </c>
    </row>
    <row r="121" spans="2:24" x14ac:dyDescent="0.2">
      <c r="B121" s="60">
        <v>7.6892817584786555E-2</v>
      </c>
      <c r="C121" s="61">
        <v>0.11631286000272728</v>
      </c>
      <c r="D121">
        <v>1</v>
      </c>
      <c r="E121" s="60">
        <v>0.32737913352505277</v>
      </c>
      <c r="F121" s="61">
        <v>1.0000093959720823E-2</v>
      </c>
      <c r="G121" s="25">
        <v>0.10067659560677983</v>
      </c>
      <c r="H121" s="25">
        <v>6.1944496818526679E-2</v>
      </c>
      <c r="I121" s="25">
        <v>9.9999683105541304E-2</v>
      </c>
      <c r="J121" s="25">
        <v>0.32277107974324787</v>
      </c>
      <c r="K121" s="25">
        <v>1.0000017328652282E-2</v>
      </c>
      <c r="L121" s="25">
        <v>1.0000141406538801E-2</v>
      </c>
      <c r="M121" s="25">
        <v>1.0000076767844609E-2</v>
      </c>
      <c r="N121" s="21">
        <v>4.7228681738095281E-2</v>
      </c>
      <c r="P121" s="27">
        <f t="array" ref="P121">SQRT(MMULT($E121:$N121,MMULT($G$5:$P$14,TRANSPOSE($E121:$N121))))-B121</f>
        <v>0</v>
      </c>
      <c r="Q121" s="27">
        <f t="shared" si="5"/>
        <v>0</v>
      </c>
      <c r="R121" s="27">
        <f t="array" ref="R121">SUM(IF($E121:$N121&lt;TRANSPOSE($D$5:$D$14),1,"-"))+SUM(IF($E121:$N121&gt;TRANSPOSE($E$5:$E$14),1,"-"))</f>
        <v>0</v>
      </c>
      <c r="S121" s="27">
        <f t="array" ref="S121">SUM(IF(MMULT($E121:$N121,$C$18:$F$27)&lt;$C$31:$F$31,1,"-"))+SUM(IF(MMULT($E121:$N121,$C$18:$F$27)&gt;$C$32:$F$32,1,"-"))</f>
        <v>0</v>
      </c>
      <c r="T121" s="27">
        <f t="shared" si="6"/>
        <v>1.0000000000000004</v>
      </c>
      <c r="V121" s="20">
        <v>7.6236761815170015E-2</v>
      </c>
      <c r="W121" s="21">
        <v>0.11862949331026312</v>
      </c>
      <c r="X121">
        <f t="shared" si="7"/>
        <v>7.7350148321525189E-2</v>
      </c>
    </row>
    <row r="122" spans="2:24" x14ac:dyDescent="0.2">
      <c r="B122" s="60">
        <v>7.6953961215320985E-2</v>
      </c>
      <c r="C122" s="61">
        <v>0.11663408968722827</v>
      </c>
      <c r="D122">
        <v>1</v>
      </c>
      <c r="E122" s="60">
        <v>0.32914971920524599</v>
      </c>
      <c r="F122" s="61">
        <v>1.0000022457128461E-2</v>
      </c>
      <c r="G122" s="25">
        <v>0.10435452268950379</v>
      </c>
      <c r="H122" s="25">
        <v>5.6495744168294615E-2</v>
      </c>
      <c r="I122" s="25">
        <v>9.9999992242725752E-2</v>
      </c>
      <c r="J122" s="25">
        <v>0.32137438706260241</v>
      </c>
      <c r="K122" s="25">
        <v>1.0000000831983873E-2</v>
      </c>
      <c r="L122" s="25">
        <v>1.0000007089044872E-2</v>
      </c>
      <c r="M122" s="25">
        <v>1.0000022964401329E-2</v>
      </c>
      <c r="N122" s="21">
        <v>4.8625581289069034E-2</v>
      </c>
      <c r="P122" s="27">
        <f t="array" ref="P122">SQRT(MMULT($E122:$N122,MMULT($G$5:$P$14,TRANSPOSE($E122:$N122))))-B122</f>
        <v>0</v>
      </c>
      <c r="Q122" s="27">
        <f t="shared" si="5"/>
        <v>0</v>
      </c>
      <c r="R122" s="27">
        <f t="array" ref="R122">SUM(IF($E122:$N122&lt;TRANSPOSE($D$5:$D$14),1,"-"))+SUM(IF($E122:$N122&gt;TRANSPOSE($E$5:$E$14),1,"-"))</f>
        <v>0</v>
      </c>
      <c r="S122" s="27">
        <f t="array" ref="S122">SUM(IF(MMULT($E122:$N122,$C$18:$F$27)&lt;$C$31:$F$31,1,"-"))+SUM(IF(MMULT($E122:$N122,$C$18:$F$27)&gt;$C$32:$F$32,1,"-"))</f>
        <v>0</v>
      </c>
      <c r="T122" s="27">
        <f t="shared" si="6"/>
        <v>1</v>
      </c>
      <c r="V122" s="20">
        <v>7.6306385608638283E-2</v>
      </c>
      <c r="W122" s="21">
        <v>0.11899945645273943</v>
      </c>
      <c r="X122">
        <f t="shared" si="7"/>
        <v>7.7426596955192106E-2</v>
      </c>
    </row>
    <row r="123" spans="2:24" x14ac:dyDescent="0.2">
      <c r="B123" s="60">
        <v>7.7015842936576803E-2</v>
      </c>
      <c r="C123" s="61">
        <v>0.11695531937172793</v>
      </c>
      <c r="D123">
        <v>1</v>
      </c>
      <c r="E123" s="60">
        <v>0.33091748939232352</v>
      </c>
      <c r="F123" s="61">
        <v>1.0000014326615545E-2</v>
      </c>
      <c r="G123" s="25">
        <v>0.10803397514938801</v>
      </c>
      <c r="H123" s="25">
        <v>5.1048544876710011E-2</v>
      </c>
      <c r="I123" s="25">
        <v>9.9999977834123843E-2</v>
      </c>
      <c r="J123" s="25">
        <v>0.31997249389995647</v>
      </c>
      <c r="K123" s="25">
        <v>1.0000002712749414E-2</v>
      </c>
      <c r="L123" s="25">
        <v>1.0000020969022442E-2</v>
      </c>
      <c r="M123" s="25">
        <v>1.0000055406641489E-2</v>
      </c>
      <c r="N123" s="21">
        <v>5.0027425432469394E-2</v>
      </c>
      <c r="P123" s="27">
        <f t="array" ref="P123">SQRT(MMULT($E123:$N123,MMULT($G$5:$P$14,TRANSPOSE($E123:$N123))))-B123</f>
        <v>0</v>
      </c>
      <c r="Q123" s="27">
        <f t="shared" si="5"/>
        <v>0</v>
      </c>
      <c r="R123" s="27">
        <f t="array" ref="R123">SUM(IF($E123:$N123&lt;TRANSPOSE($D$5:$D$14),1,"-"))+SUM(IF($E123:$N123&gt;TRANSPOSE($E$5:$E$14),1,"-"))</f>
        <v>0</v>
      </c>
      <c r="S123" s="27">
        <f t="array" ref="S123">SUM(IF(MMULT($E123:$N123,$C$18:$F$27)&lt;$C$31:$F$31,1,"-"))+SUM(IF(MMULT($E123:$N123,$C$18:$F$27)&gt;$C$32:$F$32,1,"-"))</f>
        <v>0</v>
      </c>
      <c r="T123" s="27">
        <f t="shared" si="6"/>
        <v>1</v>
      </c>
      <c r="V123" s="20">
        <v>7.6376986715978423E-2</v>
      </c>
      <c r="W123" s="21">
        <v>0.11936941959521578</v>
      </c>
      <c r="X123">
        <f t="shared" si="7"/>
        <v>7.750410668919766E-2</v>
      </c>
    </row>
    <row r="124" spans="2:24" x14ac:dyDescent="0.2">
      <c r="B124" s="60">
        <v>7.7078497949400152E-2</v>
      </c>
      <c r="C124" s="61">
        <v>0.11727654905622717</v>
      </c>
      <c r="D124">
        <v>1</v>
      </c>
      <c r="E124" s="60">
        <v>0.33268129974430816</v>
      </c>
      <c r="F124" s="61">
        <v>1.0000733437953296E-2</v>
      </c>
      <c r="G124" s="25">
        <v>0.11171690288925176</v>
      </c>
      <c r="H124" s="25">
        <v>4.5602470280772259E-2</v>
      </c>
      <c r="I124" s="25">
        <v>9.999868726293025E-2</v>
      </c>
      <c r="J124" s="25">
        <v>0.3185607566235133</v>
      </c>
      <c r="K124" s="25">
        <v>1.0000091495787592E-2</v>
      </c>
      <c r="L124" s="25">
        <v>1.0000341186683399E-2</v>
      </c>
      <c r="M124" s="25">
        <v>1.0000833154095548E-2</v>
      </c>
      <c r="N124" s="21">
        <v>5.1437883924704435E-2</v>
      </c>
      <c r="P124" s="27">
        <f t="array" ref="P124">SQRT(MMULT($E124:$N124,MMULT($G$5:$P$14,TRANSPOSE($E124:$N124))))-B124</f>
        <v>0</v>
      </c>
      <c r="Q124" s="27">
        <f t="shared" si="5"/>
        <v>0</v>
      </c>
      <c r="R124" s="27">
        <f t="array" ref="R124">SUM(IF($E124:$N124&lt;TRANSPOSE($D$5:$D$14),1,"-"))+SUM(IF($E124:$N124&gt;TRANSPOSE($E$5:$E$14),1,"-"))</f>
        <v>0</v>
      </c>
      <c r="S124" s="27">
        <f t="array" ref="S124">SUM(IF(MMULT($E124:$N124,$C$18:$F$27)&lt;$C$31:$F$31,1,"-"))+SUM(IF(MMULT($E124:$N124,$C$18:$F$27)&gt;$C$32:$F$32,1,"-"))</f>
        <v>0</v>
      </c>
      <c r="T124" s="27">
        <f t="shared" si="6"/>
        <v>0.99999999999999989</v>
      </c>
      <c r="V124" s="20">
        <v>7.6448562429509467E-2</v>
      </c>
      <c r="W124" s="21">
        <v>0.11973938273769211</v>
      </c>
      <c r="X124">
        <f t="shared" si="7"/>
        <v>7.7592889727795183E-2</v>
      </c>
    </row>
    <row r="125" spans="2:24" x14ac:dyDescent="0.2">
      <c r="B125" s="60">
        <v>7.7141785855554507E-2</v>
      </c>
      <c r="C125" s="61">
        <v>0.11759777874072788</v>
      </c>
      <c r="D125">
        <v>1</v>
      </c>
      <c r="E125" s="60">
        <v>0.33445338466283858</v>
      </c>
      <c r="F125" s="61">
        <v>1.0000018401220978E-2</v>
      </c>
      <c r="G125" s="25">
        <v>0.11539257938409568</v>
      </c>
      <c r="H125" s="25">
        <v>4.0154047792184032E-2</v>
      </c>
      <c r="I125" s="25">
        <v>9.9999971818124658E-2</v>
      </c>
      <c r="J125" s="25">
        <v>0.31716954568992078</v>
      </c>
      <c r="K125" s="25">
        <v>1.000000184918848E-2</v>
      </c>
      <c r="L125" s="25">
        <v>1.0000006692899896E-2</v>
      </c>
      <c r="M125" s="25">
        <v>1.0000019774825022E-2</v>
      </c>
      <c r="N125" s="21">
        <v>5.2830423934701908E-2</v>
      </c>
      <c r="P125" s="27">
        <f t="array" ref="P125">SQRT(MMULT($E125:$N125,MMULT($G$5:$P$14,TRANSPOSE($E125:$N125))))-B125</f>
        <v>0</v>
      </c>
      <c r="Q125" s="27">
        <f t="shared" si="5"/>
        <v>0</v>
      </c>
      <c r="R125" s="27">
        <f t="array" ref="R125">SUM(IF($E125:$N125&lt;TRANSPOSE($D$5:$D$14),1,"-"))+SUM(IF($E125:$N125&gt;TRANSPOSE($E$5:$E$14),1,"-"))</f>
        <v>0</v>
      </c>
      <c r="S125" s="27">
        <f t="array" ref="S125">SUM(IF(MMULT($E125:$N125,$C$18:$F$27)&lt;$C$31:$F$31,1,"-"))+SUM(IF(MMULT($E125:$N125,$C$18:$F$27)&gt;$C$32:$F$32,1,"-"))</f>
        <v>0</v>
      </c>
      <c r="T125" s="27">
        <f t="shared" si="6"/>
        <v>1</v>
      </c>
      <c r="V125" s="20">
        <v>7.6521110014427254E-2</v>
      </c>
      <c r="W125" s="21">
        <v>0.12010934588016842</v>
      </c>
      <c r="X125">
        <f t="shared" si="7"/>
        <v>7.7704286908514761E-2</v>
      </c>
    </row>
    <row r="126" spans="2:24" x14ac:dyDescent="0.2">
      <c r="B126" s="60">
        <v>7.7205845550009616E-2</v>
      </c>
      <c r="C126" s="61">
        <v>0.11791900842522773</v>
      </c>
      <c r="D126">
        <v>1</v>
      </c>
      <c r="E126" s="60">
        <v>0.33622130323391808</v>
      </c>
      <c r="F126" s="61">
        <v>1.000003964439756E-2</v>
      </c>
      <c r="G126" s="25">
        <v>0.11907194750956504</v>
      </c>
      <c r="H126" s="25">
        <v>3.4706751174582981E-2</v>
      </c>
      <c r="I126" s="25">
        <v>9.9999961188749195E-2</v>
      </c>
      <c r="J126" s="25">
        <v>0.31576790391979243</v>
      </c>
      <c r="K126" s="25">
        <v>1.0000002477628094E-2</v>
      </c>
      <c r="L126" s="25">
        <v>1.0000011649531388E-2</v>
      </c>
      <c r="M126" s="25">
        <v>1.0000039148626731E-2</v>
      </c>
      <c r="N126" s="21">
        <v>5.4232040053208641E-2</v>
      </c>
      <c r="P126" s="27">
        <f t="array" ref="P126">SQRT(MMULT($E126:$N126,MMULT($G$5:$P$14,TRANSPOSE($E126:$N126))))-B126</f>
        <v>0</v>
      </c>
      <c r="Q126" s="27">
        <f t="shared" si="5"/>
        <v>0</v>
      </c>
      <c r="R126" s="27">
        <f t="array" ref="R126">SUM(IF($E126:$N126&lt;TRANSPOSE($D$5:$D$14),1,"-"))+SUM(IF($E126:$N126&gt;TRANSPOSE($E$5:$E$14),1,"-"))</f>
        <v>0</v>
      </c>
      <c r="S126" s="27">
        <f t="array" ref="S126">SUM(IF(MMULT($E126:$N126,$C$18:$F$27)&lt;$C$31:$F$31,1,"-"))+SUM(IF(MMULT($E126:$N126,$C$18:$F$27)&gt;$C$32:$F$32,1,"-"))</f>
        <v>0</v>
      </c>
      <c r="T126" s="27">
        <f t="shared" si="6"/>
        <v>1.0000000000000002</v>
      </c>
      <c r="V126" s="20">
        <v>7.6594626709062655E-2</v>
      </c>
      <c r="W126" s="21">
        <v>0.12047930902264474</v>
      </c>
      <c r="X126">
        <f t="shared" si="7"/>
        <v>7.7838038224687892E-2</v>
      </c>
    </row>
    <row r="127" spans="2:24" x14ac:dyDescent="0.2">
      <c r="B127" s="60">
        <v>7.727062663741957E-2</v>
      </c>
      <c r="C127" s="61">
        <v>0.11824023810972706</v>
      </c>
      <c r="D127">
        <v>1</v>
      </c>
      <c r="E127" s="60">
        <v>0.33798907280500345</v>
      </c>
      <c r="F127" s="61">
        <v>1.0000011507191542E-2</v>
      </c>
      <c r="G127" s="25">
        <v>0.12275131767490836</v>
      </c>
      <c r="H127" s="25">
        <v>2.9259643462037563E-2</v>
      </c>
      <c r="I127" s="25">
        <v>9.9999958362353827E-2</v>
      </c>
      <c r="J127" s="25">
        <v>0.31436624295589277</v>
      </c>
      <c r="K127" s="25">
        <v>1.0000003611163016E-2</v>
      </c>
      <c r="L127" s="25">
        <v>1.0000009704388755E-2</v>
      </c>
      <c r="M127" s="25">
        <v>1.0000005451190078E-2</v>
      </c>
      <c r="N127" s="21">
        <v>5.5633734465870846E-2</v>
      </c>
      <c r="P127" s="27">
        <f t="array" ref="P127">SQRT(MMULT($E127:$N127,MMULT($G$5:$P$14,TRANSPOSE($E127:$N127))))-B127</f>
        <v>0</v>
      </c>
      <c r="Q127" s="27">
        <f t="shared" si="5"/>
        <v>0</v>
      </c>
      <c r="R127" s="27">
        <f t="array" ref="R127">SUM(IF($E127:$N127&lt;TRANSPOSE($D$5:$D$14),1,"-"))+SUM(IF($E127:$N127&gt;TRANSPOSE($E$5:$E$14),1,"-"))</f>
        <v>0</v>
      </c>
      <c r="S127" s="27">
        <f t="array" ref="S127">SUM(IF(MMULT($E127:$N127,$C$18:$F$27)&lt;$C$31:$F$31,1,"-"))+SUM(IF(MMULT($E127:$N127,$C$18:$F$27)&gt;$C$32:$F$32,1,"-"))</f>
        <v>0</v>
      </c>
      <c r="T127" s="27">
        <f t="shared" si="6"/>
        <v>1.0000000000000002</v>
      </c>
      <c r="V127" s="20">
        <v>7.6669109725681237E-2</v>
      </c>
      <c r="W127" s="21">
        <v>0.12084927216512105</v>
      </c>
      <c r="X127">
        <f t="shared" si="7"/>
        <v>7.7994142542682721E-2</v>
      </c>
    </row>
    <row r="128" spans="2:24" x14ac:dyDescent="0.2">
      <c r="B128" s="60">
        <v>7.733612802690093E-2</v>
      </c>
      <c r="C128" s="61">
        <v>0.11856146779422749</v>
      </c>
      <c r="D128">
        <v>1</v>
      </c>
      <c r="E128" s="60">
        <v>0.33975714769642096</v>
      </c>
      <c r="F128" s="61">
        <v>1.000002515391882E-2</v>
      </c>
      <c r="G128" s="25">
        <v>0.1264305640318176</v>
      </c>
      <c r="H128" s="25">
        <v>2.3812264751908591E-2</v>
      </c>
      <c r="I128" s="25">
        <v>9.9999998910399554E-2</v>
      </c>
      <c r="J128" s="25">
        <v>0.31296486195483764</v>
      </c>
      <c r="K128" s="25">
        <v>1.0000000695089566E-2</v>
      </c>
      <c r="L128" s="25">
        <v>1.0000006725185903E-2</v>
      </c>
      <c r="M128" s="25">
        <v>1.0000015689114124E-2</v>
      </c>
      <c r="N128" s="21">
        <v>5.7035114391307359E-2</v>
      </c>
      <c r="P128" s="27">
        <f t="array" ref="P128">SQRT(MMULT($E128:$N128,MMULT($G$5:$P$14,TRANSPOSE($E128:$N128))))-B128</f>
        <v>0</v>
      </c>
      <c r="Q128" s="27">
        <f t="shared" si="5"/>
        <v>0</v>
      </c>
      <c r="R128" s="27">
        <f t="array" ref="R128">SUM(IF($E128:$N128&lt;TRANSPOSE($D$5:$D$14),1,"-"))+SUM(IF($E128:$N128&gt;TRANSPOSE($E$5:$E$14),1,"-"))</f>
        <v>0</v>
      </c>
      <c r="S128" s="27">
        <f t="array" ref="S128">SUM(IF(MMULT($E128:$N128,$C$18:$F$27)&lt;$C$31:$F$31,1,"-"))+SUM(IF(MMULT($E128:$N128,$C$18:$F$27)&gt;$C$32:$F$32,1,"-"))</f>
        <v>0</v>
      </c>
      <c r="T128" s="27">
        <f t="shared" si="6"/>
        <v>1</v>
      </c>
      <c r="V128" s="20">
        <v>7.6744556250689211E-2</v>
      </c>
      <c r="W128" s="21">
        <v>0.12121923530759736</v>
      </c>
      <c r="X128">
        <f t="shared" si="7"/>
        <v>7.8172414115571173E-2</v>
      </c>
    </row>
    <row r="129" spans="2:24" x14ac:dyDescent="0.2">
      <c r="B129" s="60">
        <v>7.7402402734170844E-2</v>
      </c>
      <c r="C129" s="61">
        <v>0.11888269747872725</v>
      </c>
      <c r="D129">
        <v>1</v>
      </c>
      <c r="E129" s="60">
        <v>0.34151982316785595</v>
      </c>
      <c r="F129" s="61">
        <v>1.0000917718028621E-2</v>
      </c>
      <c r="G129" s="25">
        <v>0.13011446682360875</v>
      </c>
      <c r="H129" s="25">
        <v>1.8366509294265886E-2</v>
      </c>
      <c r="I129" s="25">
        <v>9.9998370213547655E-2</v>
      </c>
      <c r="J129" s="25">
        <v>0.31155382888937661</v>
      </c>
      <c r="K129" s="25">
        <v>1.0000104115951342E-2</v>
      </c>
      <c r="L129" s="25">
        <v>1.0000398465144604E-2</v>
      </c>
      <c r="M129" s="25">
        <v>1.0000714078613073E-2</v>
      </c>
      <c r="N129" s="21">
        <v>5.8444867233607443E-2</v>
      </c>
      <c r="P129" s="27">
        <f t="array" ref="P129">SQRT(MMULT($E129:$N129,MMULT($G$5:$P$14,TRANSPOSE($E129:$N129))))-B129</f>
        <v>0</v>
      </c>
      <c r="Q129" s="27">
        <f t="shared" si="5"/>
        <v>0</v>
      </c>
      <c r="R129" s="27">
        <f t="array" ref="R129">SUM(IF($E129:$N129&lt;TRANSPOSE($D$5:$D$14),1,"-"))+SUM(IF($E129:$N129&gt;TRANSPOSE($E$5:$E$14),1,"-"))</f>
        <v>0</v>
      </c>
      <c r="S129" s="27">
        <f t="array" ref="S129">SUM(IF(MMULT($E129:$N129,$C$18:$F$27)&lt;$C$31:$F$31,1,"-"))+SUM(IF(MMULT($E129:$N129,$C$18:$F$27)&gt;$C$32:$F$32,1,"-"))</f>
        <v>0</v>
      </c>
      <c r="T129" s="27">
        <f t="shared" si="6"/>
        <v>0.99999999999999978</v>
      </c>
      <c r="V129" s="20">
        <v>7.6820963445387663E-2</v>
      </c>
      <c r="W129" s="21">
        <v>0.1215891984500737</v>
      </c>
      <c r="X129">
        <f t="shared" si="7"/>
        <v>7.8372703689492659E-2</v>
      </c>
    </row>
    <row r="130" spans="2:24" x14ac:dyDescent="0.2">
      <c r="B130" s="60">
        <v>7.7469305175444397E-2</v>
      </c>
      <c r="C130" s="61">
        <v>0.1192039271632272</v>
      </c>
      <c r="D130">
        <v>1</v>
      </c>
      <c r="E130" s="60">
        <v>0.34327145852565416</v>
      </c>
      <c r="F130" s="61">
        <v>1.000098084589604E-2</v>
      </c>
      <c r="G130" s="25">
        <v>0.13379968340285389</v>
      </c>
      <c r="H130" s="25">
        <v>1.2927888906440373E-2</v>
      </c>
      <c r="I130" s="25">
        <v>9.9999990073837614E-2</v>
      </c>
      <c r="J130" s="25">
        <v>0.31013712913173058</v>
      </c>
      <c r="K130" s="25">
        <v>1.0000009221517631E-2</v>
      </c>
      <c r="L130" s="25">
        <v>1.0000173682526812E-2</v>
      </c>
      <c r="M130" s="25">
        <v>1.0000597905663983E-2</v>
      </c>
      <c r="N130" s="21">
        <v>5.9862088303878971E-2</v>
      </c>
      <c r="P130" s="27">
        <f t="array" ref="P130">SQRT(MMULT($E130:$N130,MMULT($G$5:$P$14,TRANSPOSE($E130:$N130))))-B130</f>
        <v>0</v>
      </c>
      <c r="Q130" s="27">
        <f t="shared" si="5"/>
        <v>0</v>
      </c>
      <c r="R130" s="27">
        <f t="array" ref="R130">SUM(IF($E130:$N130&lt;TRANSPOSE($D$5:$D$14),1,"-"))+SUM(IF($E130:$N130&gt;TRANSPOSE($E$5:$E$14),1,"-"))</f>
        <v>0</v>
      </c>
      <c r="S130" s="27">
        <f t="array" ref="S130">SUM(IF(MMULT($E130:$N130,$C$18:$F$27)&lt;$C$31:$F$31,1,"-"))+SUM(IF(MMULT($E130:$N130,$C$18:$F$27)&gt;$C$32:$F$32,1,"-"))</f>
        <v>0</v>
      </c>
      <c r="T130" s="27">
        <f t="shared" si="6"/>
        <v>1</v>
      </c>
      <c r="V130" s="20">
        <v>7.689832844612908E-2</v>
      </c>
      <c r="W130" s="21">
        <v>0.12195916159255001</v>
      </c>
      <c r="X130">
        <f t="shared" si="7"/>
        <v>7.8594830937701185E-2</v>
      </c>
    </row>
    <row r="131" spans="2:24" x14ac:dyDescent="0.2">
      <c r="B131" s="60">
        <v>7.7538711474056402E-2</v>
      </c>
      <c r="C131" s="61">
        <v>0.11952515684772715</v>
      </c>
      <c r="D131">
        <v>1</v>
      </c>
      <c r="E131" s="60">
        <v>0.3404786364064154</v>
      </c>
      <c r="F131" s="61">
        <v>1.0000125800969012E-2</v>
      </c>
      <c r="G131" s="25">
        <v>0.13951388076585966</v>
      </c>
      <c r="H131" s="25">
        <v>1.0007360010145233E-2</v>
      </c>
      <c r="I131" s="25">
        <v>9.9999997223473885E-2</v>
      </c>
      <c r="J131" s="25">
        <v>0.30386735559293071</v>
      </c>
      <c r="K131" s="25">
        <v>1.0000000892425701E-2</v>
      </c>
      <c r="L131" s="25">
        <v>1.0000021657400798E-2</v>
      </c>
      <c r="M131" s="25">
        <v>1.0000072019427823E-2</v>
      </c>
      <c r="N131" s="21">
        <v>6.6132549630951803E-2</v>
      </c>
      <c r="P131" s="27">
        <f t="array" ref="P131">SQRT(MMULT($E131:$N131,MMULT($G$5:$P$14,TRANSPOSE($E131:$N131))))-B131</f>
        <v>0</v>
      </c>
      <c r="Q131" s="27">
        <f t="shared" si="5"/>
        <v>0</v>
      </c>
      <c r="R131" s="27">
        <f t="array" ref="R131">SUM(IF($E131:$N131&lt;TRANSPOSE($D$5:$D$14),1,"-"))+SUM(IF($E131:$N131&gt;TRANSPOSE($E$5:$E$14),1,"-"))</f>
        <v>0</v>
      </c>
      <c r="S131" s="27">
        <f t="array" ref="S131">SUM(IF(MMULT($E131:$N131,$C$18:$F$27)&lt;$C$31:$F$31,1,"-"))+SUM(IF(MMULT($E131:$N131,$C$18:$F$27)&gt;$C$32:$F$32,1,"-"))</f>
        <v>0</v>
      </c>
      <c r="T131" s="27">
        <f t="shared" si="6"/>
        <v>1</v>
      </c>
      <c r="V131" s="20">
        <v>7.6976648364971229E-2</v>
      </c>
      <c r="W131" s="21">
        <v>0.12232912473502634</v>
      </c>
      <c r="X131">
        <f t="shared" si="7"/>
        <v>7.8838650337755278E-2</v>
      </c>
    </row>
    <row r="132" spans="2:24" x14ac:dyDescent="0.2">
      <c r="B132" s="60">
        <v>7.7622891653362835E-2</v>
      </c>
      <c r="C132" s="61">
        <v>0.1198463865322264</v>
      </c>
      <c r="D132">
        <v>1</v>
      </c>
      <c r="E132" s="60">
        <v>0.33239095738181068</v>
      </c>
      <c r="F132" s="61">
        <v>1.0001261577251539E-2</v>
      </c>
      <c r="G132" s="25">
        <v>0.14759336264235318</v>
      </c>
      <c r="H132" s="25">
        <v>1.0014477411724251E-2</v>
      </c>
      <c r="I132" s="25">
        <v>9.9999964773502467E-2</v>
      </c>
      <c r="J132" s="25">
        <v>0.29194027272196865</v>
      </c>
      <c r="K132" s="25">
        <v>1.0000041050124624E-2</v>
      </c>
      <c r="L132" s="25">
        <v>1.0000320292214579E-2</v>
      </c>
      <c r="M132" s="25">
        <v>1.0000833067889618E-2</v>
      </c>
      <c r="N132" s="21">
        <v>7.8058509081160493E-2</v>
      </c>
      <c r="P132" s="27">
        <f t="array" ref="P132">SQRT(MMULT($E132:$N132,MMULT($G$5:$P$14,TRANSPOSE($E132:$N132))))-B132</f>
        <v>0</v>
      </c>
      <c r="Q132" s="27">
        <f t="shared" si="5"/>
        <v>0</v>
      </c>
      <c r="R132" s="27">
        <f t="array" ref="R132">SUM(IF($E132:$N132&lt;TRANSPOSE($D$5:$D$14),1,"-"))+SUM(IF($E132:$N132&gt;TRANSPOSE($E$5:$E$14),1,"-"))</f>
        <v>0</v>
      </c>
      <c r="S132" s="27">
        <f t="array" ref="S132">SUM(IF(MMULT($E132:$N132,$C$18:$F$27)&lt;$C$31:$F$31,1,"-"))+SUM(IF(MMULT($E132:$N132,$C$18:$F$27)&gt;$C$32:$F$32,1,"-"))</f>
        <v>0</v>
      </c>
      <c r="T132" s="27">
        <f t="shared" si="6"/>
        <v>1</v>
      </c>
      <c r="V132" s="20">
        <v>7.7055920290198338E-2</v>
      </c>
      <c r="W132" s="21">
        <v>0.12269908787750269</v>
      </c>
      <c r="X132">
        <f t="shared" si="7"/>
        <v>7.9104018228766657E-2</v>
      </c>
    </row>
    <row r="133" spans="2:24" x14ac:dyDescent="0.2">
      <c r="B133" s="60">
        <v>7.7723848514868757E-2</v>
      </c>
      <c r="C133" s="61">
        <v>0.12016761621672677</v>
      </c>
      <c r="D133">
        <v>1</v>
      </c>
      <c r="E133" s="60">
        <v>0.32434802744526309</v>
      </c>
      <c r="F133" s="61">
        <v>1.0000249764346165E-2</v>
      </c>
      <c r="G133" s="25">
        <v>0.15565056423833362</v>
      </c>
      <c r="H133" s="25">
        <v>1.0001179197597396E-2</v>
      </c>
      <c r="I133" s="25">
        <v>9.9999981686795497E-2</v>
      </c>
      <c r="J133" s="25">
        <v>0.28006514610553662</v>
      </c>
      <c r="K133" s="25">
        <v>1.0000009389939011E-2</v>
      </c>
      <c r="L133" s="25">
        <v>1.0000080768031385E-2</v>
      </c>
      <c r="M133" s="25">
        <v>1.0000180890245052E-2</v>
      </c>
      <c r="N133" s="21">
        <v>8.9934580513912149E-2</v>
      </c>
      <c r="P133" s="27">
        <f t="array" ref="P133">SQRT(MMULT($E133:$N133,MMULT($G$5:$P$14,TRANSPOSE($E133:$N133))))-B133</f>
        <v>0</v>
      </c>
      <c r="Q133" s="27">
        <f t="shared" si="5"/>
        <v>0</v>
      </c>
      <c r="R133" s="27">
        <f t="array" ref="R133">SUM(IF($E133:$N133&lt;TRANSPOSE($D$5:$D$14),1,"-"))+SUM(IF($E133:$N133&gt;TRANSPOSE($E$5:$E$14),1,"-"))</f>
        <v>0</v>
      </c>
      <c r="S133" s="27">
        <f t="array" ref="S133">SUM(IF(MMULT($E133:$N133,$C$18:$F$27)&lt;$C$31:$F$31,1,"-"))+SUM(IF(MMULT($E133:$N133,$C$18:$F$27)&gt;$C$32:$F$32,1,"-"))</f>
        <v>0</v>
      </c>
      <c r="T133" s="27">
        <f t="shared" si="6"/>
        <v>0.99999999999999989</v>
      </c>
      <c r="V133" s="20">
        <v>7.7136141286690912E-2</v>
      </c>
      <c r="W133" s="21">
        <v>0.12306905101997899</v>
      </c>
      <c r="X133">
        <f t="shared" si="7"/>
        <v>7.9388250672484006E-2</v>
      </c>
    </row>
    <row r="134" spans="2:24" x14ac:dyDescent="0.2">
      <c r="B134" s="60">
        <v>7.7841809646400015E-2</v>
      </c>
      <c r="C134" s="61">
        <v>0.12048884590122613</v>
      </c>
      <c r="D134">
        <v>1</v>
      </c>
      <c r="E134" s="60">
        <v>0.31627656383838743</v>
      </c>
      <c r="F134" s="61">
        <v>1.0000354633917729E-2</v>
      </c>
      <c r="G134" s="25">
        <v>0.16372200040782997</v>
      </c>
      <c r="H134" s="25">
        <v>1.0001281518546328E-2</v>
      </c>
      <c r="I134" s="25">
        <v>9.9999832028009342E-2</v>
      </c>
      <c r="J134" s="25">
        <v>0.26815734960718285</v>
      </c>
      <c r="K134" s="25">
        <v>1.0000035232190764E-2</v>
      </c>
      <c r="L134" s="25">
        <v>1.000016437155978E-2</v>
      </c>
      <c r="M134" s="25">
        <v>1.0000343418696689E-2</v>
      </c>
      <c r="N134" s="21">
        <v>0.10184207494367903</v>
      </c>
      <c r="P134" s="27">
        <f t="array" ref="P134">SQRT(MMULT($E134:$N134,MMULT($G$5:$P$14,TRANSPOSE($E134:$N134))))-B134</f>
        <v>0</v>
      </c>
      <c r="Q134" s="27">
        <f t="shared" si="5"/>
        <v>0</v>
      </c>
      <c r="R134" s="27">
        <f t="array" ref="R134">SUM(IF($E134:$N134&lt;TRANSPOSE($D$5:$D$14),1,"-"))+SUM(IF($E134:$N134&gt;TRANSPOSE($E$5:$E$14),1,"-"))</f>
        <v>0</v>
      </c>
      <c r="S134" s="27">
        <f t="array" ref="S134">SUM(IF(MMULT($E134:$N134,$C$18:$F$27)&lt;$C$31:$F$31,1,"-"))+SUM(IF(MMULT($E134:$N134,$C$18:$F$27)&gt;$C$32:$F$32,1,"-"))</f>
        <v>0</v>
      </c>
      <c r="T134" s="27">
        <f t="shared" si="6"/>
        <v>0.99999999999999989</v>
      </c>
      <c r="V134" s="20">
        <v>7.7218247768035556E-2</v>
      </c>
      <c r="W134" s="21">
        <v>0.1234390141624553</v>
      </c>
      <c r="X134">
        <f t="shared" si="7"/>
        <v>7.9680841020955059E-2</v>
      </c>
    </row>
    <row r="135" spans="2:24" x14ac:dyDescent="0.2">
      <c r="B135" s="60">
        <v>7.7976541113081346E-2</v>
      </c>
      <c r="C135" s="61">
        <v>0.12081007558572619</v>
      </c>
      <c r="D135">
        <v>1</v>
      </c>
      <c r="E135" s="60">
        <v>0.30820969560154127</v>
      </c>
      <c r="F135" s="61">
        <v>1.0000086444094567E-2</v>
      </c>
      <c r="G135" s="25">
        <v>0.17179092898936033</v>
      </c>
      <c r="H135" s="25">
        <v>1.000022824376471E-2</v>
      </c>
      <c r="I135" s="25">
        <v>9.9999068736151248E-2</v>
      </c>
      <c r="J135" s="25">
        <v>0.25625536160768264</v>
      </c>
      <c r="K135" s="25">
        <v>1.0000010522350227E-2</v>
      </c>
      <c r="L135" s="25">
        <v>1.0000048586314321E-2</v>
      </c>
      <c r="M135" s="25">
        <v>1.0000094535853186E-2</v>
      </c>
      <c r="N135" s="21">
        <v>0.11374447673288773</v>
      </c>
      <c r="P135" s="27">
        <f t="array" ref="P135">SQRT(MMULT($E135:$N135,MMULT($G$5:$P$14,TRANSPOSE($E135:$N135))))-B135</f>
        <v>0</v>
      </c>
      <c r="Q135" s="27">
        <f t="shared" si="5"/>
        <v>0</v>
      </c>
      <c r="R135" s="27">
        <f t="array" ref="R135">SUM(IF($E135:$N135&lt;TRANSPOSE($D$5:$D$14),1,"-"))+SUM(IF($E135:$N135&gt;TRANSPOSE($E$5:$E$14),1,"-"))</f>
        <v>0</v>
      </c>
      <c r="S135" s="27">
        <f t="array" ref="S135">SUM(IF(MMULT($E135:$N135,$C$18:$F$27)&lt;$C$31:$F$31,1,"-"))+SUM(IF(MMULT($E135:$N135,$C$18:$F$27)&gt;$C$32:$F$32,1,"-"))</f>
        <v>0</v>
      </c>
      <c r="T135" s="27">
        <f t="shared" si="6"/>
        <v>1.0000000000000002</v>
      </c>
      <c r="V135" s="20">
        <v>7.731759347237703E-2</v>
      </c>
      <c r="W135" s="21">
        <v>0.12380897730493165</v>
      </c>
      <c r="X135">
        <f t="shared" si="7"/>
        <v>7.9988658942650642E-2</v>
      </c>
    </row>
    <row r="136" spans="2:24" x14ac:dyDescent="0.2">
      <c r="B136" s="60">
        <v>7.8128022315111553E-2</v>
      </c>
      <c r="C136" s="61">
        <v>0.12113130527022613</v>
      </c>
      <c r="D136">
        <v>1</v>
      </c>
      <c r="E136" s="60">
        <v>0.30014011950546521</v>
      </c>
      <c r="F136" s="61">
        <v>1.0000023383969521E-2</v>
      </c>
      <c r="G136" s="25">
        <v>0.17986122709869057</v>
      </c>
      <c r="H136" s="25">
        <v>1.0000048002663291E-2</v>
      </c>
      <c r="I136" s="25">
        <v>9.9998586212430671E-2</v>
      </c>
      <c r="J136" s="25">
        <v>0.24434989874031637</v>
      </c>
      <c r="K136" s="25">
        <v>1.0000004300754248E-2</v>
      </c>
      <c r="L136" s="25">
        <v>1.0000015788991283E-2</v>
      </c>
      <c r="M136" s="25">
        <v>1.0000027965070168E-2</v>
      </c>
      <c r="N136" s="21">
        <v>0.12565004900164886</v>
      </c>
      <c r="P136" s="27">
        <f t="array" ref="P136">SQRT(MMULT($E136:$N136,MMULT($G$5:$P$14,TRANSPOSE($E136:$N136))))-B136</f>
        <v>0</v>
      </c>
      <c r="Q136" s="27">
        <f t="shared" si="5"/>
        <v>0</v>
      </c>
      <c r="R136" s="27">
        <f t="array" ref="R136">SUM(IF($E136:$N136&lt;TRANSPOSE($D$5:$D$14),1,"-"))+SUM(IF($E136:$N136&gt;TRANSPOSE($E$5:$E$14),1,"-"))</f>
        <v>0</v>
      </c>
      <c r="S136" s="27">
        <f t="array" ref="S136">SUM(IF(MMULT($E136:$N136,$C$18:$F$27)&lt;$C$31:$F$31,1,"-"))+SUM(IF(MMULT($E136:$N136,$C$18:$F$27)&gt;$C$32:$F$32,1,"-"))</f>
        <v>0</v>
      </c>
      <c r="T136" s="27">
        <f t="shared" si="6"/>
        <v>1</v>
      </c>
      <c r="V136" s="20">
        <v>7.7439512937733199E-2</v>
      </c>
      <c r="W136" s="21">
        <v>0.12417894044740796</v>
      </c>
      <c r="X136">
        <f t="shared" si="7"/>
        <v>8.0403563196899785E-2</v>
      </c>
    </row>
    <row r="137" spans="2:24" x14ac:dyDescent="0.2">
      <c r="B137" s="60">
        <v>7.8296139360226641E-2</v>
      </c>
      <c r="C137" s="61">
        <v>0.12145253495472604</v>
      </c>
      <c r="D137">
        <v>1</v>
      </c>
      <c r="E137" s="60">
        <v>0.2920697048723595</v>
      </c>
      <c r="F137" s="61">
        <v>1.0000005444670034E-2</v>
      </c>
      <c r="G137" s="25">
        <v>0.1879317202049057</v>
      </c>
      <c r="H137" s="25">
        <v>1.0000010713753617E-2</v>
      </c>
      <c r="I137" s="25">
        <v>9.9998560800822991E-2</v>
      </c>
      <c r="J137" s="25">
        <v>0.23244355187362931</v>
      </c>
      <c r="K137" s="25">
        <v>1.0000001472899809E-2</v>
      </c>
      <c r="L137" s="25">
        <v>1.0000004575100193E-2</v>
      </c>
      <c r="M137" s="25">
        <v>1.0000008043253936E-2</v>
      </c>
      <c r="N137" s="21">
        <v>0.13755643199860504</v>
      </c>
      <c r="P137" s="27">
        <f t="array" ref="P137">SQRT(MMULT($E137:$N137,MMULT($G$5:$P$14,TRANSPOSE($E137:$N137))))-B137</f>
        <v>0</v>
      </c>
      <c r="Q137" s="27">
        <f t="shared" si="5"/>
        <v>0</v>
      </c>
      <c r="R137" s="27">
        <f t="array" ref="R137">SUM(IF($E137:$N137&lt;TRANSPOSE($D$5:$D$14),1,"-"))+SUM(IF($E137:$N137&gt;TRANSPOSE($E$5:$E$14),1,"-"))</f>
        <v>0</v>
      </c>
      <c r="S137" s="27">
        <f t="array" ref="S137">SUM(IF(MMULT($E137:$N137,$C$18:$F$27)&lt;$C$31:$F$31,1,"-"))+SUM(IF(MMULT($E137:$N137,$C$18:$F$27)&gt;$C$32:$F$32,1,"-"))</f>
        <v>0</v>
      </c>
      <c r="T137" s="27">
        <f t="shared" si="6"/>
        <v>1.0000000000000002</v>
      </c>
      <c r="V137" s="20">
        <v>7.7583899743663684E-2</v>
      </c>
      <c r="W137" s="21">
        <v>0.12454890358988428</v>
      </c>
      <c r="X137">
        <f t="shared" si="7"/>
        <v>8.0951771545872395E-2</v>
      </c>
    </row>
    <row r="138" spans="2:24" x14ac:dyDescent="0.2">
      <c r="B138" s="60">
        <v>7.8480783751597713E-2</v>
      </c>
      <c r="C138" s="61">
        <v>0.12177376463922543</v>
      </c>
      <c r="D138">
        <v>1</v>
      </c>
      <c r="E138" s="60">
        <v>0.2839988910450636</v>
      </c>
      <c r="F138" s="61">
        <v>1.000000112201097E-2</v>
      </c>
      <c r="G138" s="25">
        <v>0.19600223179511017</v>
      </c>
      <c r="H138" s="25">
        <v>1.0000001366435861E-2</v>
      </c>
      <c r="I138" s="25">
        <v>9.9998876552079924E-2</v>
      </c>
      <c r="J138" s="25">
        <v>0.22053688819178555</v>
      </c>
      <c r="K138" s="25">
        <v>1.0000000663540115E-2</v>
      </c>
      <c r="L138" s="25">
        <v>1.000000123018715E-2</v>
      </c>
      <c r="M138" s="25">
        <v>1.0000001903096949E-2</v>
      </c>
      <c r="N138" s="21">
        <v>0.14946310613068986</v>
      </c>
      <c r="P138" s="27">
        <f t="array" ref="P138">SQRT(MMULT($E138:$N138,MMULT($G$5:$P$14,TRANSPOSE($E138:$N138))))-B138</f>
        <v>0</v>
      </c>
      <c r="Q138" s="27">
        <f t="shared" si="5"/>
        <v>0</v>
      </c>
      <c r="R138" s="27">
        <f t="array" ref="R138">SUM(IF($E138:$N138&lt;TRANSPOSE($D$5:$D$14),1,"-"))+SUM(IF($E138:$N138&gt;TRANSPOSE($E$5:$E$14),1,"-"))</f>
        <v>0</v>
      </c>
      <c r="S138" s="27">
        <f t="array" ref="S138">SUM(IF(MMULT($E138:$N138,$C$18:$F$27)&lt;$C$31:$F$31,1,"-"))+SUM(IF(MMULT($E138:$N138,$C$18:$F$27)&gt;$C$32:$F$32,1,"-"))</f>
        <v>0</v>
      </c>
      <c r="T138" s="27">
        <f t="shared" si="6"/>
        <v>1.0000000000000002</v>
      </c>
      <c r="V138" s="20">
        <v>7.7750628721199602E-2</v>
      </c>
      <c r="W138" s="21">
        <v>0.12491886673236058</v>
      </c>
      <c r="X138">
        <f t="shared" si="7"/>
        <v>8.1654340341396098E-2</v>
      </c>
    </row>
    <row r="139" spans="2:24" x14ac:dyDescent="0.2">
      <c r="B139" s="60">
        <v>7.8681844077438196E-2</v>
      </c>
      <c r="C139" s="61">
        <v>0.12209499432372584</v>
      </c>
      <c r="D139">
        <v>1</v>
      </c>
      <c r="E139" s="60">
        <v>0.27592891681136394</v>
      </c>
      <c r="F139" s="61">
        <v>1.0000011190512947E-2</v>
      </c>
      <c r="G139" s="25">
        <v>0.20407310745750401</v>
      </c>
      <c r="H139" s="25">
        <v>1.0000016883601063E-2</v>
      </c>
      <c r="I139" s="25">
        <v>9.999795011539786E-2</v>
      </c>
      <c r="J139" s="25">
        <v>0.20863069808693199</v>
      </c>
      <c r="K139" s="25">
        <v>1.0000002786474328E-2</v>
      </c>
      <c r="L139" s="25">
        <v>1.0000007211697678E-2</v>
      </c>
      <c r="M139" s="25">
        <v>1.000001069218243E-2</v>
      </c>
      <c r="N139" s="21">
        <v>0.16136927876433393</v>
      </c>
      <c r="P139" s="27">
        <f t="array" ref="P139">SQRT(MMULT($E139:$N139,MMULT($G$5:$P$14,TRANSPOSE($E139:$N139))))-B139</f>
        <v>0</v>
      </c>
      <c r="Q139" s="27">
        <f t="shared" si="5"/>
        <v>0</v>
      </c>
      <c r="R139" s="27">
        <f t="array" ref="R139">SUM(IF($E139:$N139&lt;TRANSPOSE($D$5:$D$14),1,"-"))+SUM(IF($E139:$N139&gt;TRANSPOSE($E$5:$E$14),1,"-"))</f>
        <v>0</v>
      </c>
      <c r="S139" s="27">
        <f t="array" ref="S139">SUM(IF(MMULT($E139:$N139,$C$18:$F$27)&lt;$C$31:$F$31,1,"-"))+SUM(IF(MMULT($E139:$N139,$C$18:$F$27)&gt;$C$32:$F$32,1,"-"))</f>
        <v>0</v>
      </c>
      <c r="T139" s="27">
        <f t="shared" si="6"/>
        <v>1.0000000000000002</v>
      </c>
      <c r="V139" s="20">
        <v>7.7939556486832776E-2</v>
      </c>
      <c r="W139" s="21">
        <v>0.12528882987483692</v>
      </c>
      <c r="X139" t="e">
        <f t="shared" si="7"/>
        <v>#VALUE!</v>
      </c>
    </row>
    <row r="140" spans="2:24" x14ac:dyDescent="0.2">
      <c r="B140" s="60">
        <v>7.8899202703441446E-2</v>
      </c>
      <c r="C140" s="61">
        <v>0.12241622400822573</v>
      </c>
      <c r="D140">
        <v>1</v>
      </c>
      <c r="E140" s="60">
        <v>0.26787158219024543</v>
      </c>
      <c r="F140" s="61">
        <v>1.0000001674704913E-2</v>
      </c>
      <c r="G140" s="25">
        <v>0.21214694917244273</v>
      </c>
      <c r="H140" s="25">
        <v>1.0000002124617831E-2</v>
      </c>
      <c r="I140" s="25">
        <v>9.998146719115325E-2</v>
      </c>
      <c r="J140" s="25">
        <v>0.1967316195856631</v>
      </c>
      <c r="K140" s="25">
        <v>1.000000072838177E-2</v>
      </c>
      <c r="L140" s="25">
        <v>1.000000120882269E-2</v>
      </c>
      <c r="M140" s="25">
        <v>1.0000001559840559E-2</v>
      </c>
      <c r="N140" s="21">
        <v>0.17326837456412775</v>
      </c>
      <c r="P140" s="27">
        <f t="array" ref="P140">SQRT(MMULT($E140:$N140,MMULT($G$5:$P$14,TRANSPOSE($E140:$N140))))-B140</f>
        <v>0</v>
      </c>
      <c r="Q140" s="27">
        <f t="shared" si="5"/>
        <v>0</v>
      </c>
      <c r="R140" s="27">
        <f t="array" ref="R140">SUM(IF($E140:$N140&lt;TRANSPOSE($D$5:$D$14),1,"-"))+SUM(IF($E140:$N140&gt;TRANSPOSE($E$5:$E$14),1,"-"))</f>
        <v>0</v>
      </c>
      <c r="S140" s="27">
        <f t="array" ref="S140">SUM(IF(MMULT($E140:$N140,$C$18:$F$27)&lt;$C$31:$F$31,1,"-"))+SUM(IF(MMULT($E140:$N140,$C$18:$F$27)&gt;$C$32:$F$32,1,"-"))</f>
        <v>0</v>
      </c>
      <c r="T140" s="27">
        <f t="shared" si="6"/>
        <v>1.0000000000000002</v>
      </c>
      <c r="V140" s="20">
        <v>7.8150522044808698E-2</v>
      </c>
      <c r="W140" s="21">
        <v>0.12565879301731323</v>
      </c>
      <c r="X140" t="e">
        <f t="shared" si="7"/>
        <v>#VALUE!</v>
      </c>
    </row>
    <row r="141" spans="2:24" x14ac:dyDescent="0.2">
      <c r="B141" s="60">
        <v>7.9132798813643421E-2</v>
      </c>
      <c r="C141" s="61">
        <v>0.12273745369272539</v>
      </c>
      <c r="D141">
        <v>1</v>
      </c>
      <c r="E141" s="60">
        <v>0.2600726168222216</v>
      </c>
      <c r="F141" s="61">
        <v>1.000000793115635E-2</v>
      </c>
      <c r="G141" s="25">
        <v>0.22028536796413453</v>
      </c>
      <c r="H141" s="25">
        <v>1.0000009913296314E-2</v>
      </c>
      <c r="I141" s="25">
        <v>9.9642004605580148E-2</v>
      </c>
      <c r="J141" s="25">
        <v>0.18497726786870489</v>
      </c>
      <c r="K141" s="25">
        <v>1.0000003072473042E-2</v>
      </c>
      <c r="L141" s="25">
        <v>1.0000005965544997E-2</v>
      </c>
      <c r="M141" s="25">
        <v>1.000000807076514E-2</v>
      </c>
      <c r="N141" s="21">
        <v>0.18502270778612306</v>
      </c>
      <c r="P141" s="27">
        <f t="array" ref="P141">SQRT(MMULT($E141:$N141,MMULT($G$5:$P$14,TRANSPOSE($E141:$N141))))-B141</f>
        <v>0</v>
      </c>
      <c r="Q141" s="27">
        <f t="shared" si="5"/>
        <v>0</v>
      </c>
      <c r="R141" s="27">
        <f t="array" ref="R141">SUM(IF($E141:$N141&lt;TRANSPOSE($D$5:$D$14),1,"-"))+SUM(IF($E141:$N141&gt;TRANSPOSE($E$5:$E$14),1,"-"))</f>
        <v>0</v>
      </c>
      <c r="S141" s="27">
        <f t="array" ref="S141">SUM(IF(MMULT($E141:$N141,$C$18:$F$27)&lt;$C$31:$F$31,1,"-"))+SUM(IF(MMULT($E141:$N141,$C$18:$F$27)&gt;$C$32:$F$32,1,"-"))</f>
        <v>0</v>
      </c>
      <c r="T141" s="27">
        <f t="shared" si="6"/>
        <v>1</v>
      </c>
      <c r="V141" s="20">
        <v>7.8383347454123037E-2</v>
      </c>
      <c r="W141" s="21">
        <v>0.12602875615978953</v>
      </c>
      <c r="X141" t="e">
        <f t="shared" si="7"/>
        <v>#VALUE!</v>
      </c>
    </row>
    <row r="142" spans="2:24" x14ac:dyDescent="0.2">
      <c r="B142" s="60">
        <v>7.9380149725410687E-2</v>
      </c>
      <c r="C142" s="61">
        <v>0.12305868337722539</v>
      </c>
      <c r="D142">
        <v>1</v>
      </c>
      <c r="E142" s="60">
        <v>0.25782121376634543</v>
      </c>
      <c r="F142" s="61">
        <v>1.0000002330927734E-2</v>
      </c>
      <c r="G142" s="25">
        <v>0.22980463458299541</v>
      </c>
      <c r="H142" s="25">
        <v>1.0000003083348374E-2</v>
      </c>
      <c r="I142" s="25">
        <v>9.2374148704927508E-2</v>
      </c>
      <c r="J142" s="25">
        <v>0.17632425083991515</v>
      </c>
      <c r="K142" s="25">
        <v>1.0000000820586268E-2</v>
      </c>
      <c r="L142" s="25">
        <v>1.0000001492235499E-2</v>
      </c>
      <c r="M142" s="25">
        <v>1.0000001954834196E-2</v>
      </c>
      <c r="N142" s="21">
        <v>0.19367574242388449</v>
      </c>
      <c r="P142" s="27">
        <f t="array" ref="P142">SQRT(MMULT($E142:$N142,MMULT($G$5:$P$14,TRANSPOSE($E142:$N142))))-B142</f>
        <v>0</v>
      </c>
      <c r="Q142" s="27">
        <f t="shared" si="5"/>
        <v>0</v>
      </c>
      <c r="R142" s="27">
        <f t="array" ref="R142">SUM(IF($E142:$N142&lt;TRANSPOSE($D$5:$D$14),1,"-"))+SUM(IF($E142:$N142&gt;TRANSPOSE($E$5:$E$14),1,"-"))</f>
        <v>0</v>
      </c>
      <c r="S142" s="27">
        <f t="array" ref="S142">SUM(IF(MMULT($E142:$N142,$C$18:$F$27)&lt;$C$31:$F$31,1,"-"))+SUM(IF(MMULT($E142:$N142,$C$18:$F$27)&gt;$C$32:$F$32,1,"-"))</f>
        <v>0</v>
      </c>
      <c r="T142" s="27">
        <f t="shared" si="6"/>
        <v>1</v>
      </c>
      <c r="V142" s="20">
        <v>7.8637838551518999E-2</v>
      </c>
      <c r="W142" s="21">
        <v>0.12639871930226584</v>
      </c>
      <c r="X142" t="e">
        <f t="shared" si="7"/>
        <v>#VALUE!</v>
      </c>
    </row>
    <row r="143" spans="2:24" x14ac:dyDescent="0.2">
      <c r="B143" s="60">
        <v>7.9633635644943288E-2</v>
      </c>
      <c r="C143" s="61">
        <v>0.12337991306172531</v>
      </c>
      <c r="D143">
        <v>1</v>
      </c>
      <c r="E143" s="60">
        <v>0.25966242172500609</v>
      </c>
      <c r="F143" s="61">
        <v>1.0000003374816437E-2</v>
      </c>
      <c r="G143" s="25">
        <v>0.24034301793017779</v>
      </c>
      <c r="H143" s="25">
        <v>1.00000045303141E-2</v>
      </c>
      <c r="I143" s="25">
        <v>7.9994554944756366E-2</v>
      </c>
      <c r="J143" s="25">
        <v>0.1699599518838327</v>
      </c>
      <c r="K143" s="25">
        <v>1.000000111862478E-2</v>
      </c>
      <c r="L143" s="25">
        <v>1.0000002107741367E-2</v>
      </c>
      <c r="M143" s="25">
        <v>1.0000002779554906E-2</v>
      </c>
      <c r="N143" s="21">
        <v>0.20004003960517544</v>
      </c>
      <c r="P143" s="27">
        <f t="array" ref="P143">SQRT(MMULT($E143:$N143,MMULT($G$5:$P$14,TRANSPOSE($E143:$N143))))-B143</f>
        <v>0</v>
      </c>
      <c r="Q143" s="27">
        <f t="shared" si="5"/>
        <v>0</v>
      </c>
      <c r="R143" s="27">
        <f t="array" ref="R143">SUM(IF($E143:$N143&lt;TRANSPOSE($D$5:$D$14),1,"-"))+SUM(IF($E143:$N143&gt;TRANSPOSE($E$5:$E$14),1,"-"))</f>
        <v>0</v>
      </c>
      <c r="S143" s="27">
        <f t="array" ref="S143">SUM(IF(MMULT($E143:$N143,$C$18:$F$27)&lt;$C$31:$F$31,1,"-"))+SUM(IF(MMULT($E143:$N143,$C$18:$F$27)&gt;$C$32:$F$32,1,"-"))</f>
        <v>0</v>
      </c>
      <c r="T143" s="27">
        <f t="shared" si="6"/>
        <v>1</v>
      </c>
      <c r="V143" s="20">
        <v>8.1439021056559535E-2</v>
      </c>
      <c r="W143" s="21">
        <v>0.12859999999999999</v>
      </c>
      <c r="X143" t="e">
        <f t="shared" si="7"/>
        <v>#VALUE!</v>
      </c>
    </row>
    <row r="144" spans="2:24" ht="13.5" thickBot="1" x14ac:dyDescent="0.25">
      <c r="B144" s="62" t="e">
        <v>#N/A</v>
      </c>
      <c r="C144" s="63" t="e">
        <v>#N/A</v>
      </c>
      <c r="D144">
        <v>1</v>
      </c>
      <c r="E144" s="62" t="e">
        <v>#N/A</v>
      </c>
      <c r="F144" s="63" t="e">
        <v>#N/A</v>
      </c>
      <c r="G144" s="26" t="e">
        <v>#N/A</v>
      </c>
      <c r="H144" s="26" t="e">
        <v>#N/A</v>
      </c>
      <c r="I144" s="26" t="e">
        <v>#N/A</v>
      </c>
      <c r="J144" s="26" t="e">
        <v>#N/A</v>
      </c>
      <c r="K144" s="26" t="e">
        <v>#N/A</v>
      </c>
      <c r="L144" s="26" t="e">
        <v>#N/A</v>
      </c>
      <c r="M144" s="26" t="e">
        <v>#N/A</v>
      </c>
      <c r="N144" s="23" t="e">
        <v>#N/A</v>
      </c>
      <c r="P144" s="27" t="e">
        <f t="array" ref="P144">SQRT(MMULT($E144:$N144,MMULT($G$5:$P$14,TRANSPOSE($E144:$N144))))-B144</f>
        <v>#N/A</v>
      </c>
      <c r="Q144" s="27" t="e">
        <f t="shared" si="5"/>
        <v>#N/A</v>
      </c>
      <c r="R144" s="27" t="e">
        <f t="array" ref="R144">SUM(IF($E144:$N144&lt;TRANSPOSE($D$5:$D$14),1,"-"))+SUM(IF($E144:$N144&gt;TRANSPOSE($E$5:$E$14),1,"-"))</f>
        <v>#N/A</v>
      </c>
      <c r="S144" s="27" t="e">
        <f t="array" ref="S144">SUM(IF(MMULT($E144:$N144,$C$18:$F$27)&lt;$C$31:$F$31,1,"-"))+SUM(IF(MMULT($E144:$N144,$C$18:$F$27)&gt;$C$32:$F$32,1,"-"))</f>
        <v>#N/A</v>
      </c>
      <c r="T144" s="27" t="e">
        <f t="shared" si="6"/>
        <v>#N/A</v>
      </c>
      <c r="V144" s="22" t="e">
        <v>#N/A</v>
      </c>
      <c r="W144" s="23" t="e">
        <v>#N/A</v>
      </c>
    </row>
  </sheetData>
  <sortState ref="B44:C53">
    <sortCondition ref="B44:B53"/>
  </sortState>
  <conditionalFormatting sqref="A4:P4 A28:P30 G18:P27 A31:A33 A15:P17 C5:F14 C31:F33">
    <cfRule type="cellIs" dxfId="7" priority="7" operator="equal">
      <formula>0</formula>
    </cfRule>
  </conditionalFormatting>
  <conditionalFormatting sqref="G31:P31 G32:O33">
    <cfRule type="cellIs" dxfId="6" priority="6" operator="equal">
      <formula>0</formula>
    </cfRule>
  </conditionalFormatting>
  <conditionalFormatting sqref="A5:A14">
    <cfRule type="cellIs" dxfId="5" priority="5" operator="equal">
      <formula>0</formula>
    </cfRule>
  </conditionalFormatting>
  <conditionalFormatting sqref="B5:B14">
    <cfRule type="cellIs" dxfId="4" priority="3" operator="equal">
      <formula>0</formula>
    </cfRule>
  </conditionalFormatting>
  <conditionalFormatting sqref="G5:P14">
    <cfRule type="cellIs" dxfId="3" priority="2" operator="equal">
      <formula>0</formula>
    </cfRule>
  </conditionalFormatting>
  <conditionalFormatting sqref="A18:A27">
    <cfRule type="cellIs" dxfId="2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Y31"/>
  <sheetViews>
    <sheetView topLeftCell="D1" zoomScale="96" zoomScaleNormal="96" workbookViewId="0">
      <selection activeCell="K20" sqref="K20"/>
    </sheetView>
  </sheetViews>
  <sheetFormatPr defaultRowHeight="12.75" x14ac:dyDescent="0.2"/>
  <cols>
    <col min="6" max="6" width="12.42578125" bestFit="1" customWidth="1"/>
  </cols>
  <sheetData>
    <row r="2" spans="2:21" x14ac:dyDescent="0.2">
      <c r="B2">
        <v>-3</v>
      </c>
      <c r="C2">
        <v>0</v>
      </c>
      <c r="D2">
        <v>1</v>
      </c>
      <c r="G2">
        <v>0.12499999999999997</v>
      </c>
      <c r="I2">
        <v>0.625</v>
      </c>
    </row>
    <row r="3" spans="2:21" x14ac:dyDescent="0.2">
      <c r="B3">
        <v>0</v>
      </c>
      <c r="C3">
        <v>-5</v>
      </c>
      <c r="D3">
        <v>1</v>
      </c>
      <c r="G3">
        <v>-0.125</v>
      </c>
      <c r="I3">
        <v>1.625</v>
      </c>
    </row>
    <row r="4" spans="2:21" x14ac:dyDescent="0.2">
      <c r="B4">
        <v>1</v>
      </c>
      <c r="C4">
        <v>1</v>
      </c>
      <c r="D4">
        <v>0</v>
      </c>
      <c r="G4">
        <v>1</v>
      </c>
      <c r="I4">
        <v>0</v>
      </c>
    </row>
    <row r="5" spans="2:21" x14ac:dyDescent="0.2">
      <c r="O5">
        <f>O18*O25+P18*P26</f>
        <v>0.5</v>
      </c>
    </row>
    <row r="6" spans="2:21" x14ac:dyDescent="0.2">
      <c r="O6">
        <f>O5/2</f>
        <v>0.25</v>
      </c>
    </row>
    <row r="9" spans="2:21" x14ac:dyDescent="0.2">
      <c r="U9" t="s">
        <v>220</v>
      </c>
    </row>
    <row r="10" spans="2:21" x14ac:dyDescent="0.2">
      <c r="U10" t="s">
        <v>221</v>
      </c>
    </row>
    <row r="12" spans="2:21" x14ac:dyDescent="0.2">
      <c r="N12" t="s">
        <v>216</v>
      </c>
      <c r="O12">
        <v>2</v>
      </c>
      <c r="P12">
        <v>0</v>
      </c>
    </row>
    <row r="13" spans="2:21" x14ac:dyDescent="0.2">
      <c r="O13">
        <v>0</v>
      </c>
      <c r="P13">
        <v>4</v>
      </c>
    </row>
    <row r="15" spans="2:21" x14ac:dyDescent="0.2">
      <c r="S15" t="s">
        <v>214</v>
      </c>
    </row>
    <row r="16" spans="2:21" x14ac:dyDescent="0.2">
      <c r="N16" t="s">
        <v>213</v>
      </c>
      <c r="O16">
        <v>1</v>
      </c>
      <c r="P16">
        <v>1</v>
      </c>
      <c r="S16">
        <v>1</v>
      </c>
    </row>
    <row r="18" spans="14:25" x14ac:dyDescent="0.2">
      <c r="N18" t="s">
        <v>215</v>
      </c>
      <c r="O18">
        <v>0.5</v>
      </c>
      <c r="P18">
        <v>0.5</v>
      </c>
    </row>
    <row r="19" spans="14:25" x14ac:dyDescent="0.2">
      <c r="N19" t="s">
        <v>217</v>
      </c>
      <c r="O19">
        <v>0.5</v>
      </c>
      <c r="P19">
        <v>0.5</v>
      </c>
    </row>
    <row r="20" spans="14:25" x14ac:dyDescent="0.2">
      <c r="N20" t="s">
        <v>218</v>
      </c>
      <c r="O20">
        <f>0.25*0.75</f>
        <v>0.1875</v>
      </c>
    </row>
    <row r="21" spans="14:25" x14ac:dyDescent="0.2">
      <c r="N21" t="s">
        <v>219</v>
      </c>
      <c r="O21">
        <v>0</v>
      </c>
      <c r="U21" t="s">
        <v>222</v>
      </c>
      <c r="V21" s="56" t="s">
        <v>223</v>
      </c>
    </row>
    <row r="22" spans="14:25" x14ac:dyDescent="0.2">
      <c r="O22">
        <v>-2</v>
      </c>
      <c r="P22">
        <v>0</v>
      </c>
      <c r="Q22">
        <v>1</v>
      </c>
      <c r="R22">
        <v>1</v>
      </c>
      <c r="S22">
        <v>0</v>
      </c>
      <c r="U22">
        <f t="array" ref="U22:U23">MMULT(O12:P13,TRANSPOSE(O18:P18))-TRANSPOSE(O16:P16)*O21</f>
        <v>1</v>
      </c>
      <c r="V22">
        <f t="array" ref="V22:V23">TRANSPOSE(O19:P19)</f>
        <v>0.5</v>
      </c>
      <c r="W22">
        <f t="array" ref="W22:W23">MMULT(O12:P13,TRANSPOSE(O18:P18))-TRANSPOSE(O16:P16)*O21-TRANSPOSE(O19:P19)</f>
        <v>0.5</v>
      </c>
      <c r="Y22" t="e">
        <f t="array" ref="Y22:Y26">MMULT($O$22:$S$26,U22:U26)</f>
        <v>#VALUE!</v>
      </c>
    </row>
    <row r="23" spans="14:25" x14ac:dyDescent="0.2">
      <c r="O23">
        <v>0</v>
      </c>
      <c r="P23">
        <v>-4</v>
      </c>
      <c r="Q23">
        <v>1</v>
      </c>
      <c r="R23">
        <v>0</v>
      </c>
      <c r="S23">
        <v>1</v>
      </c>
      <c r="U23">
        <v>2</v>
      </c>
      <c r="V23">
        <v>0.5</v>
      </c>
      <c r="W23">
        <v>1.5</v>
      </c>
      <c r="Y23" t="e">
        <v>#VALUE!</v>
      </c>
    </row>
    <row r="24" spans="14:25" x14ac:dyDescent="0.2">
      <c r="O24">
        <v>1</v>
      </c>
      <c r="P24">
        <v>1</v>
      </c>
      <c r="Q24">
        <v>0</v>
      </c>
      <c r="R24">
        <v>0</v>
      </c>
      <c r="S24">
        <v>0</v>
      </c>
      <c r="W24">
        <f t="array" ref="W24">-(MMULT(O16:P16,TRANSPOSE(O18:P18))-S16)</f>
        <v>0</v>
      </c>
      <c r="Y24" t="e">
        <v>#VALUE!</v>
      </c>
    </row>
    <row r="25" spans="14:25" x14ac:dyDescent="0.2">
      <c r="O25">
        <f>O19</f>
        <v>0.5</v>
      </c>
      <c r="P25">
        <v>0</v>
      </c>
      <c r="Q25">
        <v>0</v>
      </c>
      <c r="R25">
        <f>O18</f>
        <v>0.5</v>
      </c>
      <c r="S25">
        <v>0</v>
      </c>
      <c r="W25">
        <f t="array" ref="W25:W26">-TRANSPOSE(O18:P18*O19:P19)+$O$20</f>
        <v>-6.25E-2</v>
      </c>
      <c r="Y25" t="e">
        <v>#VALUE!</v>
      </c>
    </row>
    <row r="26" spans="14:25" x14ac:dyDescent="0.2">
      <c r="O26">
        <v>0</v>
      </c>
      <c r="P26">
        <f>P19</f>
        <v>0.5</v>
      </c>
      <c r="Q26">
        <v>0</v>
      </c>
      <c r="R26">
        <v>0</v>
      </c>
      <c r="S26">
        <f>P18</f>
        <v>0.5</v>
      </c>
      <c r="W26">
        <v>-6.25E-2</v>
      </c>
      <c r="Y26" t="e">
        <v>#VALUE!</v>
      </c>
    </row>
    <row r="28" spans="14:25" x14ac:dyDescent="0.2">
      <c r="U28" t="s">
        <v>224</v>
      </c>
    </row>
    <row r="29" spans="14:25" x14ac:dyDescent="0.2">
      <c r="O29">
        <f>O22-O25/R25</f>
        <v>-3</v>
      </c>
      <c r="P29">
        <v>0</v>
      </c>
      <c r="Q29">
        <v>1</v>
      </c>
      <c r="V29">
        <f t="array" ref="V29:V30">1/TRANSPOSE(O18:P18)</f>
        <v>2</v>
      </c>
      <c r="W29">
        <f t="array" ref="W29:W30">U22:U23-O20*V29:V30</f>
        <v>0.625</v>
      </c>
      <c r="X29">
        <f>U22-V29</f>
        <v>-1</v>
      </c>
    </row>
    <row r="30" spans="14:25" x14ac:dyDescent="0.2">
      <c r="O30">
        <v>0</v>
      </c>
      <c r="P30">
        <f>P23-P26/S26</f>
        <v>-5</v>
      </c>
      <c r="Q30">
        <v>1</v>
      </c>
      <c r="V30">
        <v>2</v>
      </c>
      <c r="W30">
        <v>1.625</v>
      </c>
      <c r="X30">
        <f>U23-V30</f>
        <v>0</v>
      </c>
    </row>
    <row r="31" spans="14:25" x14ac:dyDescent="0.2">
      <c r="O31">
        <v>1</v>
      </c>
      <c r="P31">
        <v>1</v>
      </c>
      <c r="Q31">
        <v>0</v>
      </c>
      <c r="W31">
        <f>W24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4:V141"/>
  <sheetViews>
    <sheetView topLeftCell="A16" workbookViewId="0">
      <selection activeCell="G42" sqref="G42"/>
    </sheetView>
  </sheetViews>
  <sheetFormatPr defaultRowHeight="12.75" x14ac:dyDescent="0.2"/>
  <cols>
    <col min="2" max="2" width="18.28515625" customWidth="1"/>
    <col min="7" max="7" width="9.42578125" bestFit="1" customWidth="1"/>
    <col min="8" max="8" width="9.42578125" customWidth="1"/>
    <col min="9" max="9" width="12.5703125" bestFit="1" customWidth="1"/>
    <col min="10" max="14" width="9.42578125" bestFit="1" customWidth="1"/>
    <col min="15" max="15" width="13.140625" bestFit="1" customWidth="1"/>
    <col min="16" max="16" width="9.42578125" bestFit="1" customWidth="1"/>
    <col min="20" max="20" width="14.140625" customWidth="1"/>
    <col min="23" max="23" width="16.42578125" bestFit="1" customWidth="1"/>
  </cols>
  <sheetData>
    <row r="4" spans="2:17" x14ac:dyDescent="0.2">
      <c r="C4" s="51" t="s">
        <v>85</v>
      </c>
      <c r="D4" s="51" t="s">
        <v>86</v>
      </c>
      <c r="E4" s="51" t="s">
        <v>87</v>
      </c>
      <c r="F4" s="51" t="s">
        <v>88</v>
      </c>
      <c r="G4" s="51" t="s">
        <v>89</v>
      </c>
      <c r="H4" s="51" t="s">
        <v>90</v>
      </c>
      <c r="I4" s="51" t="s">
        <v>91</v>
      </c>
      <c r="J4" s="51" t="s">
        <v>92</v>
      </c>
      <c r="K4" s="51" t="s">
        <v>93</v>
      </c>
      <c r="L4" s="51" t="s">
        <v>94</v>
      </c>
      <c r="N4" s="51" t="s">
        <v>102</v>
      </c>
      <c r="P4" s="51" t="s">
        <v>1</v>
      </c>
      <c r="Q4" t="s">
        <v>2</v>
      </c>
    </row>
    <row r="5" spans="2:17" x14ac:dyDescent="0.2">
      <c r="B5" t="s">
        <v>85</v>
      </c>
      <c r="C5" s="51">
        <v>2.2772180411433036E-2</v>
      </c>
      <c r="D5" s="51">
        <v>5.9112588530366109E-3</v>
      </c>
      <c r="E5" s="51">
        <v>9.304277878942252E-3</v>
      </c>
      <c r="F5" s="51">
        <v>2.7517392973994413E-4</v>
      </c>
      <c r="G5" s="51">
        <v>2.0180194785925148E-3</v>
      </c>
      <c r="H5" s="51">
        <v>-1.6005060348732119E-4</v>
      </c>
      <c r="I5" s="51">
        <v>1.0439288663063904E-2</v>
      </c>
      <c r="J5" s="51">
        <v>-6.0361724234842106E-3</v>
      </c>
      <c r="K5" s="51">
        <v>-7.1615963327599994E-3</v>
      </c>
      <c r="L5" s="51">
        <v>4.0427024688185261E-3</v>
      </c>
      <c r="N5">
        <v>0.16977435164435639</v>
      </c>
      <c r="P5">
        <v>0</v>
      </c>
      <c r="Q5">
        <v>1</v>
      </c>
    </row>
    <row r="6" spans="2:17" x14ac:dyDescent="0.2">
      <c r="B6" t="s">
        <v>86</v>
      </c>
      <c r="C6" s="51">
        <v>5.9112588530366101E-3</v>
      </c>
      <c r="D6" s="51">
        <v>1.7966919930783253E-3</v>
      </c>
      <c r="E6" s="51">
        <v>2.4664050756072293E-3</v>
      </c>
      <c r="F6" s="51">
        <v>1.0226251671882073E-4</v>
      </c>
      <c r="G6" s="51">
        <v>5.5223292279320355E-4</v>
      </c>
      <c r="H6" s="51">
        <v>-6.1999167519939635E-6</v>
      </c>
      <c r="I6" s="51">
        <v>2.7027284431661719E-3</v>
      </c>
      <c r="J6" s="51">
        <v>-1.0630059013096722E-3</v>
      </c>
      <c r="K6" s="51">
        <v>-1.3985053407747231E-3</v>
      </c>
      <c r="L6" s="51">
        <v>1.1030135650496721E-3</v>
      </c>
      <c r="N6">
        <v>0.11898276827284415</v>
      </c>
      <c r="P6">
        <v>0</v>
      </c>
      <c r="Q6">
        <v>0</v>
      </c>
    </row>
    <row r="7" spans="2:17" x14ac:dyDescent="0.2">
      <c r="B7" t="s">
        <v>87</v>
      </c>
      <c r="C7" s="51">
        <v>9.304277878942252E-3</v>
      </c>
      <c r="D7" s="51">
        <v>2.4664050756072293E-3</v>
      </c>
      <c r="E7" s="51">
        <v>2.5753759524642025E-2</v>
      </c>
      <c r="F7" s="51">
        <v>8.1582997452575394E-4</v>
      </c>
      <c r="G7" s="51">
        <v>7.1432596388093881E-3</v>
      </c>
      <c r="H7" s="51">
        <v>9.6374150389877488E-6</v>
      </c>
      <c r="I7" s="51">
        <v>-2.5063430934907658E-3</v>
      </c>
      <c r="J7" s="51">
        <v>-9.1033533695772106E-3</v>
      </c>
      <c r="K7" s="51">
        <v>-1.1111003573186151E-2</v>
      </c>
      <c r="L7" s="51">
        <v>2.3948621571842849E-3</v>
      </c>
      <c r="N7">
        <v>0.23801110468852027</v>
      </c>
      <c r="P7">
        <v>0</v>
      </c>
      <c r="Q7">
        <v>0.1</v>
      </c>
    </row>
    <row r="8" spans="2:17" x14ac:dyDescent="0.2">
      <c r="B8" t="s">
        <v>88</v>
      </c>
      <c r="C8" s="51">
        <v>2.7517392973994413E-4</v>
      </c>
      <c r="D8" s="51">
        <v>1.0226251671882073E-4</v>
      </c>
      <c r="E8" s="51">
        <v>8.1582997452575394E-4</v>
      </c>
      <c r="F8" s="51">
        <v>2.4943293239240993E-3</v>
      </c>
      <c r="G8" s="51">
        <v>1.0036656462648634E-3</v>
      </c>
      <c r="H8" s="51">
        <v>1.8988083815953068E-5</v>
      </c>
      <c r="I8" s="51">
        <v>-1.8407999859970906E-3</v>
      </c>
      <c r="J8" s="51">
        <v>-1.1742912273690646E-3</v>
      </c>
      <c r="K8" s="51">
        <v>-1.5552071985700197E-3</v>
      </c>
      <c r="L8" s="51">
        <v>2.7398501689909532E-4</v>
      </c>
      <c r="N8">
        <v>0.10779532356208854</v>
      </c>
      <c r="P8">
        <v>0</v>
      </c>
      <c r="Q8">
        <v>0.05</v>
      </c>
    </row>
    <row r="9" spans="2:17" x14ac:dyDescent="0.2">
      <c r="B9" t="s">
        <v>89</v>
      </c>
      <c r="C9" s="51">
        <v>2.0180194785925148E-3</v>
      </c>
      <c r="D9" s="51">
        <v>5.5223292279320344E-4</v>
      </c>
      <c r="E9" s="51">
        <v>7.1432596388093881E-3</v>
      </c>
      <c r="F9" s="51">
        <v>1.0036656462648634E-3</v>
      </c>
      <c r="G9" s="51">
        <v>5.0060224106090534E-3</v>
      </c>
      <c r="H9" s="51">
        <v>6.5276009311625787E-5</v>
      </c>
      <c r="I9" s="51">
        <v>-3.3092156555067265E-3</v>
      </c>
      <c r="J9" s="51">
        <v>-3.6996691332525349E-3</v>
      </c>
      <c r="K9" s="51">
        <v>-5.4105083524100608E-3</v>
      </c>
      <c r="L9" s="51">
        <v>5.7334431425873638E-4</v>
      </c>
      <c r="N9">
        <v>9.9894610589501331E-2</v>
      </c>
      <c r="P9">
        <v>0</v>
      </c>
      <c r="Q9">
        <v>1</v>
      </c>
    </row>
    <row r="10" spans="2:17" x14ac:dyDescent="0.2">
      <c r="B10" t="s">
        <v>90</v>
      </c>
      <c r="C10" s="51">
        <v>-1.6005060348732122E-4</v>
      </c>
      <c r="D10" s="51">
        <v>-6.1999167519939644E-6</v>
      </c>
      <c r="E10" s="51">
        <v>9.6374150389877488E-6</v>
      </c>
      <c r="F10" s="51">
        <v>1.8988083815953068E-5</v>
      </c>
      <c r="G10" s="51">
        <v>6.5276009311625787E-5</v>
      </c>
      <c r="H10" s="51">
        <v>4.2472131810310709E-5</v>
      </c>
      <c r="I10" s="51">
        <v>-3.2485352103511246E-4</v>
      </c>
      <c r="J10" s="51">
        <v>-6.4433343415727114E-5</v>
      </c>
      <c r="K10" s="51">
        <v>-1.4914411238743102E-4</v>
      </c>
      <c r="L10" s="51">
        <v>1.4487911832810763E-5</v>
      </c>
      <c r="N10">
        <v>7.9345407386023137E-2</v>
      </c>
      <c r="P10">
        <v>0</v>
      </c>
      <c r="Q10">
        <v>0.25</v>
      </c>
    </row>
    <row r="11" spans="2:17" x14ac:dyDescent="0.2">
      <c r="B11" t="s">
        <v>91</v>
      </c>
      <c r="C11" s="51">
        <v>1.0439288663063904E-2</v>
      </c>
      <c r="D11" s="51">
        <v>2.7027284431661719E-3</v>
      </c>
      <c r="E11" s="51">
        <v>-2.5063430934907658E-3</v>
      </c>
      <c r="F11" s="51">
        <v>-1.840799985997091E-3</v>
      </c>
      <c r="G11" s="51">
        <v>-3.3092156555067265E-3</v>
      </c>
      <c r="H11" s="51">
        <v>-3.2485352103511241E-4</v>
      </c>
      <c r="I11" s="51">
        <v>2.5661090747955542E-2</v>
      </c>
      <c r="J11" s="51">
        <v>1.3325743296761658E-2</v>
      </c>
      <c r="K11" s="51">
        <v>1.500973669341004E-2</v>
      </c>
      <c r="L11" s="51">
        <v>1.1654877299848772E-3</v>
      </c>
      <c r="N11">
        <v>6.05770735762301E-2</v>
      </c>
      <c r="P11">
        <v>0</v>
      </c>
      <c r="Q11">
        <v>0.25</v>
      </c>
    </row>
    <row r="12" spans="2:17" x14ac:dyDescent="0.2">
      <c r="B12" t="s">
        <v>92</v>
      </c>
      <c r="C12" s="51">
        <v>-6.0361724234842106E-3</v>
      </c>
      <c r="D12" s="51">
        <v>-1.0630059013096722E-3</v>
      </c>
      <c r="E12" s="51">
        <v>-9.1033533695772124E-3</v>
      </c>
      <c r="F12" s="51">
        <v>-1.1742912273690646E-3</v>
      </c>
      <c r="G12" s="51">
        <v>-3.6996691332525358E-3</v>
      </c>
      <c r="H12" s="51">
        <v>-6.4433343415727128E-5</v>
      </c>
      <c r="I12" s="51">
        <v>1.3325743296761658E-2</v>
      </c>
      <c r="J12" s="51">
        <v>2.8714066135482379E-2</v>
      </c>
      <c r="K12" s="51">
        <v>2.7061949635047745E-2</v>
      </c>
      <c r="L12" s="51">
        <v>-1.8987972643857483E-3</v>
      </c>
      <c r="N12">
        <v>8.2176164668931406E-2</v>
      </c>
      <c r="P12">
        <v>0</v>
      </c>
      <c r="Q12">
        <v>1</v>
      </c>
    </row>
    <row r="13" spans="2:17" x14ac:dyDescent="0.2">
      <c r="B13" t="s">
        <v>93</v>
      </c>
      <c r="C13" s="51">
        <v>-7.1615963327599994E-3</v>
      </c>
      <c r="D13" s="51">
        <v>-1.3985053407747231E-3</v>
      </c>
      <c r="E13" s="51">
        <v>-1.1111003573186151E-2</v>
      </c>
      <c r="F13" s="51">
        <v>-1.5552071985700201E-3</v>
      </c>
      <c r="G13" s="51">
        <v>-5.4105083524100608E-3</v>
      </c>
      <c r="H13" s="51">
        <v>-1.4914411238743102E-4</v>
      </c>
      <c r="I13" s="51">
        <v>1.500973669341004E-2</v>
      </c>
      <c r="J13" s="51">
        <v>2.7061949635047745E-2</v>
      </c>
      <c r="K13" s="51">
        <v>2.9839935305873623E-2</v>
      </c>
      <c r="L13" s="51">
        <v>-2.0958246175076583E-3</v>
      </c>
      <c r="N13">
        <v>2.2931565865803805E-2</v>
      </c>
      <c r="P13">
        <v>0</v>
      </c>
      <c r="Q13">
        <v>0</v>
      </c>
    </row>
    <row r="14" spans="2:17" x14ac:dyDescent="0.2">
      <c r="B14" t="s">
        <v>94</v>
      </c>
      <c r="C14" s="51">
        <v>4.0427024688185261E-3</v>
      </c>
      <c r="D14" s="51">
        <v>1.1030135650496719E-3</v>
      </c>
      <c r="E14" s="51">
        <v>2.3948621571842849E-3</v>
      </c>
      <c r="F14" s="51">
        <v>2.7398501689909532E-4</v>
      </c>
      <c r="G14" s="51">
        <v>5.7334431425873638E-4</v>
      </c>
      <c r="H14" s="51">
        <v>1.4487911832810762E-5</v>
      </c>
      <c r="I14" s="51">
        <v>1.1654877299848774E-3</v>
      </c>
      <c r="J14" s="51">
        <v>-1.8987972643857483E-3</v>
      </c>
      <c r="K14" s="51">
        <v>-2.0958246175076583E-3</v>
      </c>
      <c r="L14" s="51">
        <v>1.4227528464349109E-3</v>
      </c>
      <c r="N14">
        <v>0.15512204118640227</v>
      </c>
      <c r="P14">
        <v>0</v>
      </c>
      <c r="Q14">
        <v>0.1</v>
      </c>
    </row>
    <row r="15" spans="2:17" x14ac:dyDescent="0.2">
      <c r="C15" s="51"/>
      <c r="D15" s="51"/>
      <c r="E15" s="51"/>
      <c r="F15" s="51"/>
      <c r="G15" s="51"/>
      <c r="H15" s="51"/>
      <c r="I15" s="51"/>
      <c r="J15" s="51"/>
      <c r="K15" s="51"/>
      <c r="L15" s="51"/>
    </row>
    <row r="16" spans="2:17" ht="16.5" x14ac:dyDescent="0.3">
      <c r="B16" s="52" t="s">
        <v>95</v>
      </c>
      <c r="C16" s="51"/>
      <c r="D16" s="51"/>
      <c r="E16" s="51"/>
      <c r="F16" s="51"/>
      <c r="G16" s="51"/>
      <c r="H16" s="51"/>
      <c r="I16" s="51"/>
      <c r="J16" s="51"/>
      <c r="K16" s="51"/>
      <c r="L16" s="51"/>
      <c r="N16" s="52" t="s">
        <v>6</v>
      </c>
    </row>
    <row r="17" spans="2:14" x14ac:dyDescent="0.2">
      <c r="C17" s="50" t="s">
        <v>85</v>
      </c>
      <c r="D17" s="50" t="s">
        <v>86</v>
      </c>
      <c r="E17" s="50" t="s">
        <v>87</v>
      </c>
      <c r="F17" s="50" t="s">
        <v>88</v>
      </c>
      <c r="G17" s="50" t="s">
        <v>89</v>
      </c>
      <c r="H17" s="50" t="s">
        <v>90</v>
      </c>
      <c r="I17" s="50" t="s">
        <v>91</v>
      </c>
      <c r="J17" s="50" t="s">
        <v>92</v>
      </c>
      <c r="K17" s="50" t="s">
        <v>93</v>
      </c>
      <c r="L17" s="50" t="s">
        <v>94</v>
      </c>
      <c r="N17" s="53"/>
    </row>
    <row r="18" spans="2:14" ht="16.5" x14ac:dyDescent="0.3">
      <c r="B18" t="s">
        <v>100</v>
      </c>
      <c r="C18">
        <v>0.5</v>
      </c>
      <c r="D18">
        <v>0.1</v>
      </c>
      <c r="E18">
        <v>0.2</v>
      </c>
      <c r="F18">
        <v>0.1</v>
      </c>
      <c r="G18">
        <v>0.1</v>
      </c>
      <c r="H18">
        <v>0</v>
      </c>
      <c r="I18">
        <v>0.5</v>
      </c>
      <c r="J18">
        <v>0.2</v>
      </c>
      <c r="K18">
        <v>0.15</v>
      </c>
      <c r="L18">
        <v>0.1</v>
      </c>
      <c r="M18" t="s">
        <v>98</v>
      </c>
      <c r="N18" s="54">
        <v>100</v>
      </c>
    </row>
    <row r="19" spans="2:14" ht="16.5" x14ac:dyDescent="0.3">
      <c r="B19" t="s">
        <v>101</v>
      </c>
      <c r="C19">
        <v>1</v>
      </c>
      <c r="D19">
        <v>0.2</v>
      </c>
      <c r="E19">
        <v>0.3</v>
      </c>
      <c r="F19">
        <v>0.3</v>
      </c>
      <c r="G19">
        <v>0.3</v>
      </c>
      <c r="H19">
        <v>0</v>
      </c>
      <c r="I19">
        <v>0.9</v>
      </c>
      <c r="J19">
        <v>0.3</v>
      </c>
      <c r="K19">
        <v>0.1</v>
      </c>
      <c r="L19">
        <v>0.4</v>
      </c>
      <c r="M19" t="s">
        <v>97</v>
      </c>
      <c r="N19" s="54">
        <v>0</v>
      </c>
    </row>
    <row r="21" spans="2:14" x14ac:dyDescent="0.2">
      <c r="E21" t="s">
        <v>103</v>
      </c>
      <c r="F21" t="s">
        <v>104</v>
      </c>
    </row>
    <row r="22" spans="2:14" x14ac:dyDescent="0.2">
      <c r="C22" t="s">
        <v>96</v>
      </c>
      <c r="D22" t="s">
        <v>99</v>
      </c>
      <c r="E22" t="s">
        <v>100</v>
      </c>
      <c r="F22" t="s">
        <v>101</v>
      </c>
    </row>
    <row r="23" spans="2:14" x14ac:dyDescent="0.2">
      <c r="B23" t="s">
        <v>85</v>
      </c>
      <c r="C23">
        <v>1</v>
      </c>
      <c r="D23">
        <v>0</v>
      </c>
      <c r="E23">
        <v>0.5</v>
      </c>
      <c r="F23">
        <v>1</v>
      </c>
    </row>
    <row r="24" spans="2:14" x14ac:dyDescent="0.2">
      <c r="B24" t="s">
        <v>86</v>
      </c>
      <c r="C24">
        <v>0</v>
      </c>
      <c r="D24">
        <v>0</v>
      </c>
      <c r="E24">
        <v>0.1</v>
      </c>
      <c r="F24">
        <v>0.2</v>
      </c>
    </row>
    <row r="25" spans="2:14" x14ac:dyDescent="0.2">
      <c r="B25" t="s">
        <v>87</v>
      </c>
      <c r="C25">
        <v>0</v>
      </c>
      <c r="D25">
        <v>0</v>
      </c>
      <c r="E25">
        <v>0.2</v>
      </c>
      <c r="F25">
        <v>0.3</v>
      </c>
    </row>
    <row r="26" spans="2:14" x14ac:dyDescent="0.2">
      <c r="B26" t="s">
        <v>88</v>
      </c>
      <c r="C26">
        <v>0</v>
      </c>
      <c r="D26">
        <v>0</v>
      </c>
      <c r="E26">
        <v>0.1</v>
      </c>
      <c r="F26">
        <v>0.3</v>
      </c>
    </row>
    <row r="27" spans="2:14" x14ac:dyDescent="0.2">
      <c r="B27" t="s">
        <v>89</v>
      </c>
      <c r="C27">
        <v>0</v>
      </c>
      <c r="D27">
        <v>0</v>
      </c>
      <c r="E27">
        <v>0.1</v>
      </c>
      <c r="F27">
        <v>0.3</v>
      </c>
    </row>
    <row r="28" spans="2:14" x14ac:dyDescent="0.2">
      <c r="B28" t="s">
        <v>90</v>
      </c>
      <c r="C28">
        <v>0</v>
      </c>
      <c r="D28">
        <v>0</v>
      </c>
      <c r="E28">
        <v>0</v>
      </c>
      <c r="F28">
        <v>0</v>
      </c>
    </row>
    <row r="29" spans="2:14" x14ac:dyDescent="0.2">
      <c r="B29" t="s">
        <v>91</v>
      </c>
      <c r="C29">
        <v>1</v>
      </c>
      <c r="D29">
        <v>1</v>
      </c>
      <c r="E29">
        <v>0.5</v>
      </c>
      <c r="F29">
        <v>0.9</v>
      </c>
    </row>
    <row r="30" spans="2:14" x14ac:dyDescent="0.2">
      <c r="B30" t="s">
        <v>92</v>
      </c>
      <c r="C30">
        <v>0</v>
      </c>
      <c r="D30">
        <v>1</v>
      </c>
      <c r="E30">
        <v>0.2</v>
      </c>
      <c r="F30">
        <v>0.3</v>
      </c>
    </row>
    <row r="31" spans="2:14" x14ac:dyDescent="0.2">
      <c r="B31" t="s">
        <v>93</v>
      </c>
      <c r="C31">
        <v>0</v>
      </c>
      <c r="D31">
        <v>1</v>
      </c>
      <c r="E31">
        <v>0.15</v>
      </c>
      <c r="F31">
        <v>0.1</v>
      </c>
    </row>
    <row r="32" spans="2:14" x14ac:dyDescent="0.2">
      <c r="B32" t="s">
        <v>94</v>
      </c>
      <c r="C32">
        <v>0</v>
      </c>
      <c r="D32">
        <v>0</v>
      </c>
      <c r="E32">
        <v>0.1</v>
      </c>
      <c r="F32">
        <v>0.4</v>
      </c>
    </row>
    <row r="34" spans="2:22" x14ac:dyDescent="0.2">
      <c r="B34" t="s">
        <v>7</v>
      </c>
      <c r="C34">
        <v>0</v>
      </c>
      <c r="D34">
        <v>0</v>
      </c>
      <c r="E34">
        <v>-1</v>
      </c>
      <c r="F34">
        <v>0</v>
      </c>
    </row>
    <row r="35" spans="2:22" x14ac:dyDescent="0.2">
      <c r="B35" t="s">
        <v>8</v>
      </c>
      <c r="C35">
        <v>0.75</v>
      </c>
      <c r="D35">
        <v>0.25</v>
      </c>
      <c r="E35">
        <v>100</v>
      </c>
      <c r="F35">
        <v>2</v>
      </c>
      <c r="T35" s="27" t="s">
        <v>211</v>
      </c>
    </row>
    <row r="36" spans="2:22" x14ac:dyDescent="0.2">
      <c r="T36" s="27"/>
      <c r="U36" s="27" t="s">
        <v>12</v>
      </c>
      <c r="V36" s="27" t="s">
        <v>13</v>
      </c>
    </row>
    <row r="37" spans="2:22" x14ac:dyDescent="0.2">
      <c r="B37" t="s">
        <v>210</v>
      </c>
      <c r="C37" s="35">
        <f t="array" ref="C37:D37">EfficientFrontier3($C$5:$L$14,$N$5:$N$14,$P$5:$P$14,$Q$5:$Q$14,$C$23:$F$32,$C$34:$F$34,$C$35:$F$35,"MIN_RISK")</f>
        <v>3.278023466686756E-2</v>
      </c>
      <c r="D37" s="35">
        <v>9.7299051961963062E-2</v>
      </c>
      <c r="G37" s="55"/>
      <c r="H37" s="55"/>
      <c r="I37" s="55"/>
      <c r="J37" s="55"/>
      <c r="K37" s="55"/>
      <c r="L37" s="55"/>
      <c r="M37" s="55"/>
      <c r="N37" s="55"/>
      <c r="T37" s="27" t="s">
        <v>210</v>
      </c>
      <c r="U37" s="27">
        <v>3.2780226275034588E-2</v>
      </c>
      <c r="V37" s="27">
        <v>9.7295166403387937E-2</v>
      </c>
    </row>
    <row r="38" spans="2:22" x14ac:dyDescent="0.2">
      <c r="B38" t="s">
        <v>209</v>
      </c>
      <c r="T38" s="27" t="s">
        <v>209</v>
      </c>
      <c r="U38" s="27">
        <v>4.2242805196872464E-2</v>
      </c>
      <c r="V38" s="27">
        <v>0.12345370373680456</v>
      </c>
    </row>
    <row r="39" spans="2:22" x14ac:dyDescent="0.2">
      <c r="B39" t="s">
        <v>208</v>
      </c>
      <c r="C39" s="35">
        <f t="array" ref="C39:D39">EfficientFrontier3($C$5:$L$14,$N$5:$N$14,$P$5:$P$14,$Q$5:$Q$14,$C$23:$F$32,$C$34:$F$34,$C$35:$F$35,"MAX_RETURN")</f>
        <v>0.12316181599182521</v>
      </c>
      <c r="D39" s="35">
        <v>0.172033844498864</v>
      </c>
      <c r="G39" s="55"/>
      <c r="H39" s="55"/>
      <c r="I39" s="55"/>
      <c r="J39" s="55"/>
      <c r="K39" s="55"/>
      <c r="L39" s="55"/>
      <c r="M39" s="55"/>
      <c r="N39" s="55"/>
      <c r="T39" s="27" t="s">
        <v>208</v>
      </c>
      <c r="U39" s="27">
        <v>0.12316181599182521</v>
      </c>
      <c r="V39" s="27">
        <v>0.172033844498864</v>
      </c>
    </row>
    <row r="40" spans="2:22" x14ac:dyDescent="0.2">
      <c r="B40" t="s">
        <v>212</v>
      </c>
      <c r="T40" s="27" t="s">
        <v>106</v>
      </c>
      <c r="U40" s="27" t="s">
        <v>106</v>
      </c>
      <c r="V40" s="27" t="s">
        <v>106</v>
      </c>
    </row>
    <row r="41" spans="2:22" x14ac:dyDescent="0.2">
      <c r="C41">
        <f t="array" ref="C41:D141">EfficientFrontier3($C$5:$L$14,$N$5:$N$14,$P$5:$P$14,$Q$5:$Q$14,$C$23:$F$32,$C$34:$F$34,$C$35:$F$35,"CURVE")</f>
        <v>3.2780229834680062E-2</v>
      </c>
      <c r="D41">
        <v>9.7299051961963062E-2</v>
      </c>
      <c r="E41">
        <f>(D41-$N$10)/C41</f>
        <v>0.54769733667168341</v>
      </c>
      <c r="T41" s="27" t="s">
        <v>207</v>
      </c>
      <c r="U41" s="27">
        <v>3.2780226275034588E-2</v>
      </c>
      <c r="V41" s="27">
        <v>9.7295166403387937E-2</v>
      </c>
    </row>
    <row r="42" spans="2:22" x14ac:dyDescent="0.2">
      <c r="C42">
        <v>3.2790455247375928E-2</v>
      </c>
      <c r="D42">
        <v>9.8018001385117515E-2</v>
      </c>
      <c r="E42">
        <f t="shared" ref="E42:E105" si="0">(D42-$N$10)/C42</f>
        <v>0.56945211215354086</v>
      </c>
      <c r="T42" s="27" t="s">
        <v>206</v>
      </c>
      <c r="U42" s="27">
        <v>3.2791158774041887E-2</v>
      </c>
      <c r="V42" s="27">
        <v>9.8042553184342726E-2</v>
      </c>
    </row>
    <row r="43" spans="2:22" x14ac:dyDescent="0.2">
      <c r="C43">
        <v>3.2820912992691999E-2</v>
      </c>
      <c r="D43">
        <v>9.8736950808272661E-2</v>
      </c>
      <c r="E43">
        <f t="shared" si="0"/>
        <v>0.59082888482009333</v>
      </c>
      <c r="T43" s="27" t="s">
        <v>205</v>
      </c>
      <c r="U43" s="27">
        <v>3.2823934423683795E-2</v>
      </c>
      <c r="V43" s="27">
        <v>9.8789939965297474E-2</v>
      </c>
    </row>
    <row r="44" spans="2:22" x14ac:dyDescent="0.2">
      <c r="C44">
        <v>3.2871532076790992E-2</v>
      </c>
      <c r="D44">
        <v>9.9455900231426281E-2</v>
      </c>
      <c r="E44">
        <f t="shared" si="0"/>
        <v>0.61179055477010136</v>
      </c>
      <c r="T44" s="27" t="s">
        <v>204</v>
      </c>
      <c r="U44" s="27">
        <v>3.2878487899538143E-2</v>
      </c>
      <c r="V44" s="27">
        <v>9.9537326746252208E-2</v>
      </c>
    </row>
    <row r="45" spans="2:22" x14ac:dyDescent="0.2">
      <c r="C45">
        <v>3.2942177116393037E-2</v>
      </c>
      <c r="D45">
        <v>0.10017484965458114</v>
      </c>
      <c r="E45">
        <f t="shared" si="0"/>
        <v>0.63230314726808479</v>
      </c>
      <c r="T45" s="27" t="s">
        <v>203</v>
      </c>
      <c r="U45" s="27">
        <v>3.2954711048251831E-2</v>
      </c>
      <c r="V45" s="27">
        <v>0.10028471352720698</v>
      </c>
    </row>
    <row r="46" spans="2:22" x14ac:dyDescent="0.2">
      <c r="C46">
        <v>3.3033266698699194E-2</v>
      </c>
      <c r="D46">
        <v>0.10089379907773478</v>
      </c>
      <c r="E46">
        <f t="shared" si="0"/>
        <v>0.65232397050698576</v>
      </c>
      <c r="T46" s="27" t="s">
        <v>202</v>
      </c>
      <c r="U46" s="27">
        <v>3.3052453951127131E-2</v>
      </c>
      <c r="V46" s="27">
        <v>0.10103210030816173</v>
      </c>
    </row>
    <row r="47" spans="2:22" x14ac:dyDescent="0.2">
      <c r="C47">
        <v>3.3143418552611319E-2</v>
      </c>
      <c r="D47">
        <v>0.10161274850088951</v>
      </c>
      <c r="E47">
        <f t="shared" si="0"/>
        <v>0.67184804969709344</v>
      </c>
      <c r="T47" s="27" t="s">
        <v>201</v>
      </c>
      <c r="U47" s="27">
        <v>3.3171526379003127E-2</v>
      </c>
      <c r="V47" s="27">
        <v>0.10177948708911651</v>
      </c>
    </row>
    <row r="48" spans="2:22" x14ac:dyDescent="0.2">
      <c r="C48">
        <v>3.3272167078841515E-2</v>
      </c>
      <c r="D48">
        <v>0.10233169792404986</v>
      </c>
      <c r="E48">
        <f t="shared" si="0"/>
        <v>0.6908564291456748</v>
      </c>
      <c r="T48" s="27" t="s">
        <v>200</v>
      </c>
      <c r="U48" s="27">
        <v>3.3309154663039194E-2</v>
      </c>
      <c r="V48" s="27">
        <v>0.10252687387007126</v>
      </c>
    </row>
    <row r="49" spans="3:22" x14ac:dyDescent="0.2">
      <c r="C49">
        <v>3.3411463917810372E-2</v>
      </c>
      <c r="D49">
        <v>0.10305064734719796</v>
      </c>
      <c r="E49">
        <f t="shared" si="0"/>
        <v>0.7094942029324991</v>
      </c>
      <c r="T49" s="27" t="s">
        <v>199</v>
      </c>
      <c r="U49" s="27">
        <v>3.3456416461675645E-2</v>
      </c>
      <c r="V49" s="27">
        <v>0.10327426065102603</v>
      </c>
    </row>
    <row r="50" spans="3:22" x14ac:dyDescent="0.2">
      <c r="C50">
        <v>3.3558866582318866E-2</v>
      </c>
      <c r="D50">
        <v>0.10376959677035247</v>
      </c>
      <c r="E50">
        <f t="shared" si="0"/>
        <v>0.7278013792395982</v>
      </c>
      <c r="T50" s="27" t="s">
        <v>198</v>
      </c>
      <c r="U50" s="27">
        <v>3.3612460546474598E-2</v>
      </c>
      <c r="V50" s="27">
        <v>0.10402164743198078</v>
      </c>
    </row>
    <row r="51" spans="3:22" x14ac:dyDescent="0.2">
      <c r="C51">
        <v>3.3714352105502825E-2</v>
      </c>
      <c r="D51">
        <v>0.10448854619350706</v>
      </c>
      <c r="E51">
        <f t="shared" si="0"/>
        <v>0.745769597731053</v>
      </c>
      <c r="T51" s="27" t="s">
        <v>197</v>
      </c>
      <c r="U51" s="27">
        <v>3.3777165200175631E-2</v>
      </c>
      <c r="V51" s="27">
        <v>0.10476903421293554</v>
      </c>
    </row>
    <row r="52" spans="3:22" x14ac:dyDescent="0.2">
      <c r="C52">
        <v>3.3877776428219285E-2</v>
      </c>
      <c r="D52">
        <v>0.10520749561666132</v>
      </c>
      <c r="E52">
        <f t="shared" si="0"/>
        <v>0.76339391061969908</v>
      </c>
      <c r="T52" s="27" t="s">
        <v>196</v>
      </c>
      <c r="U52" s="27">
        <v>3.3950404377150148E-2</v>
      </c>
      <c r="V52" s="27">
        <v>0.1055164209938903</v>
      </c>
    </row>
    <row r="53" spans="3:22" x14ac:dyDescent="0.2">
      <c r="C53">
        <v>3.4049031694207893E-2</v>
      </c>
      <c r="D53">
        <v>0.10592644503981569</v>
      </c>
      <c r="E53">
        <f t="shared" si="0"/>
        <v>0.78066941499291653</v>
      </c>
      <c r="T53" s="27" t="s">
        <v>195</v>
      </c>
      <c r="U53" s="27">
        <v>3.4132048125251592E-2</v>
      </c>
      <c r="V53" s="27">
        <v>0.10626380777484508</v>
      </c>
    </row>
    <row r="54" spans="3:22" x14ac:dyDescent="0.2">
      <c r="C54">
        <v>3.422798650749069E-2</v>
      </c>
      <c r="D54">
        <v>0.10664539446297035</v>
      </c>
      <c r="E54">
        <f t="shared" si="0"/>
        <v>0.79759255108309368</v>
      </c>
      <c r="T54" s="27" t="s">
        <v>194</v>
      </c>
      <c r="U54" s="27">
        <v>3.4321963005011537E-2</v>
      </c>
      <c r="V54" s="27">
        <v>0.10701119455579983</v>
      </c>
    </row>
    <row r="55" spans="3:22" x14ac:dyDescent="0.2">
      <c r="C55">
        <v>3.4414561570275955E-2</v>
      </c>
      <c r="D55">
        <v>0.10736434388612662</v>
      </c>
      <c r="E55">
        <f t="shared" si="0"/>
        <v>0.81415933319062217</v>
      </c>
      <c r="T55" s="27" t="s">
        <v>193</v>
      </c>
      <c r="U55" s="27">
        <v>3.4520012503628753E-2</v>
      </c>
      <c r="V55" s="27">
        <v>0.10775858133675459</v>
      </c>
    </row>
    <row r="56" spans="3:22" x14ac:dyDescent="0.2">
      <c r="C56">
        <v>3.4608884248398954E-2</v>
      </c>
      <c r="D56">
        <v>0.10808329330927917</v>
      </c>
      <c r="E56">
        <f t="shared" si="0"/>
        <v>0.83036152558386733</v>
      </c>
      <c r="T56" s="27" t="s">
        <v>192</v>
      </c>
      <c r="U56" s="27">
        <v>3.472731202211414E-2</v>
      </c>
      <c r="V56" s="27">
        <v>0.10850596811770936</v>
      </c>
    </row>
    <row r="57" spans="3:22" x14ac:dyDescent="0.2">
      <c r="C57">
        <v>3.4812739111584265E-2</v>
      </c>
      <c r="D57">
        <v>0.10880224273243363</v>
      </c>
      <c r="E57">
        <f t="shared" si="0"/>
        <v>0.8461510383309212</v>
      </c>
      <c r="T57" s="27" t="s">
        <v>191</v>
      </c>
      <c r="U57" s="27">
        <v>3.4946228752698434E-2</v>
      </c>
      <c r="V57" s="27">
        <v>0.10925335489866413</v>
      </c>
    </row>
    <row r="58" spans="3:22" x14ac:dyDescent="0.2">
      <c r="C58">
        <v>3.5027530265554309E-2</v>
      </c>
      <c r="D58">
        <v>0.10952119215558825</v>
      </c>
      <c r="E58">
        <f t="shared" si="0"/>
        <v>0.86148765102173519</v>
      </c>
      <c r="T58" s="27" t="s">
        <v>190</v>
      </c>
      <c r="U58" s="27">
        <v>3.5176618894438266E-2</v>
      </c>
      <c r="V58" s="27">
        <v>0.11000074167961887</v>
      </c>
    </row>
    <row r="59" spans="3:22" x14ac:dyDescent="0.2">
      <c r="C59">
        <v>3.5252842662987144E-2</v>
      </c>
      <c r="D59">
        <v>0.1102401415787424</v>
      </c>
      <c r="E59">
        <f t="shared" si="0"/>
        <v>0.87637568658133858</v>
      </c>
      <c r="T59" s="27" t="s">
        <v>189</v>
      </c>
      <c r="U59" s="27">
        <v>3.5418258549894138E-2</v>
      </c>
      <c r="V59" s="27">
        <v>0.11074812846057362</v>
      </c>
    </row>
    <row r="60" spans="3:22" x14ac:dyDescent="0.2">
      <c r="C60">
        <v>3.5488481942455755E-2</v>
      </c>
      <c r="D60">
        <v>0.11095909100189685</v>
      </c>
      <c r="E60">
        <f t="shared" si="0"/>
        <v>0.89081532614257808</v>
      </c>
      <c r="T60" s="27" t="s">
        <v>188</v>
      </c>
      <c r="U60" s="27">
        <v>3.567091910259277E-2</v>
      </c>
      <c r="V60" s="27">
        <v>0.1114955152415284</v>
      </c>
    </row>
    <row r="61" spans="3:22" x14ac:dyDescent="0.2">
      <c r="C61">
        <v>3.5734278512272052E-2</v>
      </c>
      <c r="D61">
        <v>0.11167804042505126</v>
      </c>
      <c r="E61">
        <f t="shared" si="0"/>
        <v>0.90480721551225063</v>
      </c>
      <c r="T61" s="27" t="s">
        <v>187</v>
      </c>
      <c r="U61" s="27">
        <v>3.5934368083970242E-2</v>
      </c>
      <c r="V61" s="27">
        <v>0.11224290202248316</v>
      </c>
    </row>
    <row r="62" spans="3:22" x14ac:dyDescent="0.2">
      <c r="C62">
        <v>3.5990513842862927E-2</v>
      </c>
      <c r="D62">
        <v>0.1123969898482113</v>
      </c>
      <c r="E62">
        <f t="shared" si="0"/>
        <v>0.91834149983225177</v>
      </c>
      <c r="T62" s="27" t="s">
        <v>186</v>
      </c>
      <c r="U62" s="27">
        <v>3.6208370007758867E-2</v>
      </c>
      <c r="V62" s="27">
        <v>0.11299028880343794</v>
      </c>
    </row>
    <row r="63" spans="3:22" x14ac:dyDescent="0.2">
      <c r="C63">
        <v>3.6255459576960754E-2</v>
      </c>
      <c r="D63">
        <v>0.11311593927136007</v>
      </c>
      <c r="E63">
        <f t="shared" si="0"/>
        <v>0.93146059322875296</v>
      </c>
      <c r="T63" s="27" t="s">
        <v>185</v>
      </c>
      <c r="U63" s="27">
        <v>3.6492687167393643E-2</v>
      </c>
      <c r="V63" s="27">
        <v>0.11373767558439268</v>
      </c>
    </row>
    <row r="64" spans="3:22" x14ac:dyDescent="0.2">
      <c r="C64">
        <v>3.6530814830611699E-2</v>
      </c>
      <c r="D64">
        <v>0.11383488869451866</v>
      </c>
      <c r="E64">
        <f t="shared" si="0"/>
        <v>0.94412023023352876</v>
      </c>
      <c r="T64" s="27" t="s">
        <v>184</v>
      </c>
      <c r="U64" s="27">
        <v>3.6787080392845985E-2</v>
      </c>
      <c r="V64" s="27">
        <v>0.11448506236534745</v>
      </c>
    </row>
    <row r="65" spans="3:22" x14ac:dyDescent="0.2">
      <c r="C65">
        <v>3.6815008833226616E-2</v>
      </c>
      <c r="D65">
        <v>0.11455383811766748</v>
      </c>
      <c r="E65">
        <f t="shared" si="0"/>
        <v>0.95636078456859441</v>
      </c>
      <c r="T65" s="27" t="s">
        <v>183</v>
      </c>
      <c r="U65" s="27">
        <v>3.7091309764096247E-2</v>
      </c>
      <c r="V65" s="27">
        <v>0.11523244914630221</v>
      </c>
    </row>
    <row r="66" spans="3:22" x14ac:dyDescent="0.2">
      <c r="C66">
        <v>3.7108302583559329E-2</v>
      </c>
      <c r="D66">
        <v>0.11527278754082179</v>
      </c>
      <c r="E66">
        <f t="shared" si="0"/>
        <v>0.96817632856955638</v>
      </c>
      <c r="T66" s="27" t="s">
        <v>182</v>
      </c>
      <c r="U66" s="27">
        <v>3.7405135279217253E-2</v>
      </c>
      <c r="V66" s="27">
        <v>0.11597983592725697</v>
      </c>
    </row>
    <row r="67" spans="3:22" x14ac:dyDescent="0.2">
      <c r="C67">
        <v>3.7410346663464829E-2</v>
      </c>
      <c r="D67">
        <v>0.11599173696397676</v>
      </c>
      <c r="E67">
        <f t="shared" si="0"/>
        <v>0.97957738557238894</v>
      </c>
      <c r="T67" s="27" t="s">
        <v>181</v>
      </c>
      <c r="U67" s="27">
        <v>3.7728317475749097E-2</v>
      </c>
      <c r="V67" s="27">
        <v>0.11672722270821172</v>
      </c>
    </row>
    <row r="68" spans="3:22" x14ac:dyDescent="0.2">
      <c r="C68">
        <v>3.7721254577320236E-2</v>
      </c>
      <c r="D68">
        <v>0.11671068638713188</v>
      </c>
      <c r="E68">
        <f t="shared" si="0"/>
        <v>0.99056299743472676</v>
      </c>
      <c r="T68" s="27" t="s">
        <v>180</v>
      </c>
      <c r="U68" s="27">
        <v>3.8060618004694291E-2</v>
      </c>
      <c r="V68" s="27">
        <v>0.11747460948916649</v>
      </c>
    </row>
    <row r="69" spans="3:22" x14ac:dyDescent="0.2">
      <c r="C69">
        <v>3.8040434808210968E-2</v>
      </c>
      <c r="D69">
        <v>0.11742963581028544</v>
      </c>
      <c r="E69">
        <f t="shared" si="0"/>
        <v>1.0011512385773751</v>
      </c>
      <c r="T69" s="27" t="s">
        <v>179</v>
      </c>
      <c r="U69" s="27">
        <v>3.8401800157044405E-2</v>
      </c>
      <c r="V69" s="27">
        <v>0.11822199627012124</v>
      </c>
    </row>
    <row r="70" spans="3:22" x14ac:dyDescent="0.2">
      <c r="C70">
        <v>3.8367954933686901E-2</v>
      </c>
      <c r="D70">
        <v>0.11814858523344091</v>
      </c>
      <c r="E70">
        <f t="shared" si="0"/>
        <v>1.0113433961878626</v>
      </c>
      <c r="T70" s="27" t="s">
        <v>178</v>
      </c>
      <c r="U70" s="27">
        <v>3.8773537037712323E-2</v>
      </c>
      <c r="V70" s="27">
        <v>0.11896938305107599</v>
      </c>
    </row>
    <row r="71" spans="3:22" x14ac:dyDescent="0.2">
      <c r="C71">
        <v>3.8719200048768505E-2</v>
      </c>
      <c r="D71">
        <v>0.11886753465659541</v>
      </c>
      <c r="E71">
        <f t="shared" si="0"/>
        <v>1.0207371851895817</v>
      </c>
      <c r="T71" s="27" t="s">
        <v>177</v>
      </c>
      <c r="U71" s="27">
        <v>3.9207712900137123E-2</v>
      </c>
      <c r="V71" s="27">
        <v>0.11971676983203075</v>
      </c>
    </row>
    <row r="72" spans="3:22" x14ac:dyDescent="0.2">
      <c r="C72">
        <v>3.9127747179400672E-2</v>
      </c>
      <c r="D72">
        <v>0.11958648407975492</v>
      </c>
      <c r="E72">
        <f t="shared" si="0"/>
        <v>1.0284537085466867</v>
      </c>
      <c r="T72" s="27" t="s">
        <v>176</v>
      </c>
      <c r="U72" s="27">
        <v>3.9702608535109561E-2</v>
      </c>
      <c r="V72" s="27">
        <v>0.12046415661298551</v>
      </c>
    </row>
    <row r="73" spans="3:22" x14ac:dyDescent="0.2">
      <c r="C73">
        <v>3.9592559539108868E-2</v>
      </c>
      <c r="D73">
        <v>0.12030543350290387</v>
      </c>
      <c r="E73">
        <f t="shared" si="0"/>
        <v>1.0345384737357308</v>
      </c>
      <c r="T73" s="27" t="s">
        <v>175</v>
      </c>
      <c r="U73" s="27">
        <v>4.0255984590028056E-2</v>
      </c>
      <c r="V73" s="27">
        <v>0.12121154339394027</v>
      </c>
    </row>
    <row r="74" spans="3:22" x14ac:dyDescent="0.2">
      <c r="C74">
        <v>4.011211392094112E-2</v>
      </c>
      <c r="D74">
        <v>0.12102438292605856</v>
      </c>
      <c r="E74">
        <f t="shared" si="0"/>
        <v>1.039062055472382</v>
      </c>
      <c r="T74" s="27" t="s">
        <v>174</v>
      </c>
      <c r="U74" s="27">
        <v>4.0865465411773341E-2</v>
      </c>
      <c r="V74" s="27">
        <v>0.12195893017489505</v>
      </c>
    </row>
    <row r="75" spans="3:22" x14ac:dyDescent="0.2">
      <c r="C75">
        <v>4.0684039575501894E-2</v>
      </c>
      <c r="D75">
        <v>0.12174333234921297</v>
      </c>
      <c r="E75">
        <f t="shared" si="0"/>
        <v>1.0421267259979752</v>
      </c>
      <c r="T75" s="27" t="s">
        <v>173</v>
      </c>
      <c r="U75" s="27">
        <v>4.1528580863267599E-2</v>
      </c>
      <c r="V75" s="27">
        <v>0.1227063169558498</v>
      </c>
    </row>
    <row r="76" spans="3:22" x14ac:dyDescent="0.2">
      <c r="C76">
        <v>4.1306331898325409E-2</v>
      </c>
      <c r="D76">
        <v>0.12246228177236676</v>
      </c>
      <c r="E76">
        <f t="shared" si="0"/>
        <v>1.0438320810590207</v>
      </c>
      <c r="T76" s="27" t="s">
        <v>172</v>
      </c>
      <c r="U76" s="27">
        <v>4.2242805196872464E-2</v>
      </c>
      <c r="V76" s="27">
        <v>0.12345370373680456</v>
      </c>
    </row>
    <row r="77" spans="3:22" x14ac:dyDescent="0.2">
      <c r="C77">
        <v>4.1976743048383683E-2</v>
      </c>
      <c r="D77">
        <v>0.12318123119552178</v>
      </c>
      <c r="E77">
        <f t="shared" si="0"/>
        <v>1.0442883517421093</v>
      </c>
      <c r="T77" s="27" t="s">
        <v>171</v>
      </c>
      <c r="U77" s="27">
        <v>4.300559208373627E-2</v>
      </c>
      <c r="V77" s="27">
        <v>0.12420109051775931</v>
      </c>
    </row>
    <row r="78" spans="3:22" x14ac:dyDescent="0.2">
      <c r="C78">
        <v>4.2692829104665576E-2</v>
      </c>
      <c r="D78">
        <v>0.12390018061867172</v>
      </c>
      <c r="E78">
        <f t="shared" si="0"/>
        <v>1.0436125730487027</v>
      </c>
      <c r="T78" s="27" t="s">
        <v>170</v>
      </c>
      <c r="U78" s="27">
        <v>4.3814405247958904E-2</v>
      </c>
      <c r="V78" s="27">
        <v>0.1249484772987141</v>
      </c>
    </row>
    <row r="79" spans="3:22" x14ac:dyDescent="0.2">
      <c r="C79">
        <v>4.3452509846213377E-2</v>
      </c>
      <c r="D79">
        <v>0.12461913004183023</v>
      </c>
      <c r="E79">
        <f t="shared" si="0"/>
        <v>1.0419127184146399</v>
      </c>
      <c r="T79" s="27" t="s">
        <v>169</v>
      </c>
      <c r="U79" s="27">
        <v>4.4666744465875999E-2</v>
      </c>
      <c r="V79" s="27">
        <v>0.12569586407966885</v>
      </c>
    </row>
    <row r="80" spans="3:22" x14ac:dyDescent="0.2">
      <c r="C80">
        <v>4.4253474459784004E-2</v>
      </c>
      <c r="D80">
        <v>0.12533807946498468</v>
      </c>
      <c r="E80">
        <f t="shared" si="0"/>
        <v>1.039300815142957</v>
      </c>
      <c r="T80" s="27" t="s">
        <v>168</v>
      </c>
      <c r="U80" s="27">
        <v>4.5560166947841686E-2</v>
      </c>
      <c r="V80" s="27">
        <v>0.12644325086062363</v>
      </c>
    </row>
    <row r="81" spans="3:22" x14ac:dyDescent="0.2">
      <c r="C81">
        <v>4.5093526903877412E-2</v>
      </c>
      <c r="D81">
        <v>0.12605702888813908</v>
      </c>
      <c r="E81">
        <f t="shared" si="0"/>
        <v>1.0358830792208316</v>
      </c>
      <c r="T81" s="27" t="s">
        <v>167</v>
      </c>
      <c r="U81" s="27">
        <v>4.6492304316288667E-2</v>
      </c>
      <c r="V81" s="27">
        <v>0.12719063764157837</v>
      </c>
    </row>
    <row r="82" spans="3:22" x14ac:dyDescent="0.2">
      <c r="C82">
        <v>4.5970529427892814E-2</v>
      </c>
      <c r="D82">
        <v>0.12677597831129339</v>
      </c>
      <c r="E82">
        <f t="shared" si="0"/>
        <v>1.0317603803033766</v>
      </c>
      <c r="T82" s="27" t="s">
        <v>166</v>
      </c>
      <c r="U82" s="27">
        <v>4.7460875530793076E-2</v>
      </c>
      <c r="V82" s="27">
        <v>0.12793802442253305</v>
      </c>
    </row>
    <row r="83" spans="3:22" x14ac:dyDescent="0.2">
      <c r="C83">
        <v>4.6882406183433527E-2</v>
      </c>
      <c r="D83">
        <v>0.12749492773444779</v>
      </c>
      <c r="E83">
        <f t="shared" si="0"/>
        <v>1.0270274985467549</v>
      </c>
      <c r="T83" s="27" t="s">
        <v>165</v>
      </c>
      <c r="U83" s="27">
        <v>4.8463696194660046E-2</v>
      </c>
      <c r="V83" s="27">
        <v>0.12868541120348778</v>
      </c>
    </row>
    <row r="84" spans="3:22" x14ac:dyDescent="0.2">
      <c r="C84">
        <v>4.7827166419180188E-2</v>
      </c>
      <c r="D84">
        <v>0.12821387715760221</v>
      </c>
      <c r="E84">
        <f t="shared" si="0"/>
        <v>1.0217722150476658</v>
      </c>
      <c r="T84" s="27" t="s">
        <v>164</v>
      </c>
      <c r="U84" s="27">
        <v>4.9498684717222879E-2</v>
      </c>
      <c r="V84" s="27">
        <v>0.12943279798444254</v>
      </c>
    </row>
    <row r="85" spans="3:22" x14ac:dyDescent="0.2">
      <c r="C85">
        <v>4.8802905384561862E-2</v>
      </c>
      <c r="D85">
        <v>0.12893282658075655</v>
      </c>
      <c r="E85">
        <f t="shared" si="0"/>
        <v>1.016075145608436</v>
      </c>
      <c r="T85" s="27" t="s">
        <v>163</v>
      </c>
      <c r="U85" s="27">
        <v>5.0563865811561554E-2</v>
      </c>
      <c r="V85" s="27">
        <v>0.13018018476539731</v>
      </c>
    </row>
    <row r="86" spans="3:22" x14ac:dyDescent="0.2">
      <c r="C86">
        <v>4.9807859515573476E-2</v>
      </c>
      <c r="D86">
        <v>0.12965177600391081</v>
      </c>
      <c r="E86">
        <f t="shared" si="0"/>
        <v>1.0100086433579489</v>
      </c>
      <c r="T86" s="27" t="s">
        <v>162</v>
      </c>
      <c r="U86" s="27">
        <v>5.1657371788274543E-2</v>
      </c>
      <c r="V86" s="27">
        <v>0.13092757154635207</v>
      </c>
    </row>
    <row r="87" spans="3:22" x14ac:dyDescent="0.2">
      <c r="C87">
        <v>5.0840052818910922E-2</v>
      </c>
      <c r="D87">
        <v>0.13037072542706588</v>
      </c>
      <c r="E87">
        <f t="shared" si="0"/>
        <v>1.0036440800482982</v>
      </c>
      <c r="T87" s="27" t="s">
        <v>161</v>
      </c>
      <c r="U87" s="27">
        <v>5.2777442070663913E-2</v>
      </c>
      <c r="V87" s="27">
        <v>0.13167495832730683</v>
      </c>
    </row>
    <row r="88" spans="3:22" x14ac:dyDescent="0.2">
      <c r="C88">
        <v>5.189569288563594E-2</v>
      </c>
      <c r="D88">
        <v>0.13108967485022019</v>
      </c>
      <c r="E88">
        <f t="shared" si="0"/>
        <v>0.99708211967084459</v>
      </c>
      <c r="T88" s="27" t="s">
        <v>160</v>
      </c>
      <c r="U88" s="27">
        <v>5.3922421312107234E-2</v>
      </c>
      <c r="V88" s="27">
        <v>0.13242234510826162</v>
      </c>
    </row>
    <row r="89" spans="3:22" x14ac:dyDescent="0.2">
      <c r="C89">
        <v>5.2956402796728926E-2</v>
      </c>
      <c r="D89">
        <v>0.13180862427337459</v>
      </c>
      <c r="E89">
        <f t="shared" si="0"/>
        <v>0.99068694466898455</v>
      </c>
      <c r="T89" s="27" t="s">
        <v>159</v>
      </c>
      <c r="U89" s="27">
        <v>5.5090756447759397E-2</v>
      </c>
      <c r="V89" s="27">
        <v>0.13316973188921633</v>
      </c>
    </row>
    <row r="90" spans="3:22" x14ac:dyDescent="0.2">
      <c r="C90">
        <v>5.4018650758427357E-2</v>
      </c>
      <c r="D90">
        <v>0.13252757369652446</v>
      </c>
      <c r="E90">
        <f t="shared" si="0"/>
        <v>0.98451489557436722</v>
      </c>
      <c r="T90" s="27" t="s">
        <v>158</v>
      </c>
      <c r="U90" s="27">
        <v>5.6280992963878528E-2</v>
      </c>
      <c r="V90" s="27">
        <v>0.13391711867017109</v>
      </c>
    </row>
    <row r="91" spans="3:22" x14ac:dyDescent="0.2">
      <c r="C91">
        <v>5.5082223301444674E-2</v>
      </c>
      <c r="D91">
        <v>0.13324652311968355</v>
      </c>
      <c r="E91">
        <f t="shared" si="0"/>
        <v>0.9785573730145114</v>
      </c>
      <c r="T91" s="27" t="s">
        <v>157</v>
      </c>
      <c r="U91" s="27">
        <v>5.749177062155756E-2</v>
      </c>
      <c r="V91" s="27">
        <v>0.13466450545112585</v>
      </c>
    </row>
    <row r="92" spans="3:22" x14ac:dyDescent="0.2">
      <c r="C92">
        <v>5.6147307912877899E-2</v>
      </c>
      <c r="D92">
        <v>0.13396547254283617</v>
      </c>
      <c r="E92">
        <f t="shared" si="0"/>
        <v>0.97279935917079685</v>
      </c>
      <c r="T92" s="27" t="s">
        <v>156</v>
      </c>
      <c r="U92" s="27">
        <v>5.872181882904589E-2</v>
      </c>
      <c r="V92" s="27">
        <v>0.13541189223208064</v>
      </c>
    </row>
    <row r="93" spans="3:22" x14ac:dyDescent="0.2">
      <c r="C93">
        <v>5.7213380074263083E-2</v>
      </c>
      <c r="D93">
        <v>0.1346844219659924</v>
      </c>
      <c r="E93">
        <f t="shared" si="0"/>
        <v>0.96723903583635695</v>
      </c>
      <c r="T93" s="27" t="s">
        <v>155</v>
      </c>
      <c r="U93" s="27">
        <v>5.9969951818961989E-2</v>
      </c>
      <c r="V93" s="27">
        <v>0.13615927901303537</v>
      </c>
    </row>
    <row r="94" spans="3:22" x14ac:dyDescent="0.2">
      <c r="C94">
        <v>5.8280775589476891E-2</v>
      </c>
      <c r="D94">
        <v>0.1354033713891466</v>
      </c>
      <c r="E94">
        <f t="shared" si="0"/>
        <v>0.96186029503089221</v>
      </c>
      <c r="T94" s="27" t="s">
        <v>154</v>
      </c>
      <c r="U94" s="27">
        <v>6.1235063753815169E-2</v>
      </c>
      <c r="V94" s="27">
        <v>0.13690666579399016</v>
      </c>
    </row>
    <row r="95" spans="3:22" x14ac:dyDescent="0.2">
      <c r="C95">
        <v>5.9349367745249397E-2</v>
      </c>
      <c r="D95">
        <v>0.13612232081229386</v>
      </c>
      <c r="E95">
        <f t="shared" si="0"/>
        <v>0.95665574180974178</v>
      </c>
      <c r="T95" s="27" t="s">
        <v>153</v>
      </c>
      <c r="U95" s="27">
        <v>6.2516123855264991E-2</v>
      </c>
      <c r="V95" s="27">
        <v>0.1376540525749449</v>
      </c>
    </row>
    <row r="96" spans="3:22" x14ac:dyDescent="0.2">
      <c r="C96">
        <v>6.0418876542782149E-2</v>
      </c>
      <c r="D96">
        <v>0.13684127023545403</v>
      </c>
      <c r="E96">
        <f t="shared" si="0"/>
        <v>0.95162085327287593</v>
      </c>
      <c r="T96" s="27" t="s">
        <v>152</v>
      </c>
      <c r="U96" s="27">
        <v>6.3812171629146958E-2</v>
      </c>
      <c r="V96" s="27">
        <v>0.13840143935589966</v>
      </c>
    </row>
    <row r="97" spans="3:22" x14ac:dyDescent="0.2">
      <c r="C97">
        <v>6.1489476475282606E-2</v>
      </c>
      <c r="D97">
        <v>0.13756021965860929</v>
      </c>
      <c r="E97">
        <f t="shared" si="0"/>
        <v>0.94674431479323462</v>
      </c>
      <c r="T97" s="27" t="s">
        <v>151</v>
      </c>
      <c r="U97" s="27">
        <v>6.5122312239020125E-2</v>
      </c>
      <c r="V97" s="27">
        <v>0.13914882613685442</v>
      </c>
    </row>
    <row r="98" spans="3:22" x14ac:dyDescent="0.2">
      <c r="C98">
        <v>6.2561025914353807E-2</v>
      </c>
      <c r="D98">
        <v>0.13827916908176394</v>
      </c>
      <c r="E98">
        <f t="shared" si="0"/>
        <v>0.94202038464684479</v>
      </c>
      <c r="T98" s="27" t="s">
        <v>150</v>
      </c>
      <c r="U98" s="27">
        <v>6.6445712065362053E-2</v>
      </c>
      <c r="V98" s="27">
        <v>0.13989621291780921</v>
      </c>
    </row>
    <row r="99" spans="3:22" x14ac:dyDescent="0.2">
      <c r="C99">
        <v>6.3633527167774637E-2</v>
      </c>
      <c r="D99">
        <v>0.13899811850491467</v>
      </c>
      <c r="E99">
        <f t="shared" si="0"/>
        <v>0.93744153080832093</v>
      </c>
      <c r="T99" s="27" t="s">
        <v>149</v>
      </c>
      <c r="U99" s="27">
        <v>6.7781594475029974E-2</v>
      </c>
      <c r="V99" s="27">
        <v>0.14064359969876397</v>
      </c>
    </row>
    <row r="100" spans="3:22" x14ac:dyDescent="0.2">
      <c r="C100">
        <v>6.4706831629464473E-2</v>
      </c>
      <c r="D100">
        <v>0.13971706792807326</v>
      </c>
      <c r="E100">
        <f t="shared" si="0"/>
        <v>0.93300288426670053</v>
      </c>
      <c r="T100" s="27" t="s">
        <v>148</v>
      </c>
      <c r="U100" s="27">
        <v>6.9131450754864529E-2</v>
      </c>
      <c r="V100" s="27">
        <v>0.14139098647971871</v>
      </c>
    </row>
    <row r="101" spans="3:22" x14ac:dyDescent="0.2">
      <c r="C101">
        <v>6.5780942996268188E-2</v>
      </c>
      <c r="D101">
        <v>0.14043601735122785</v>
      </c>
      <c r="E101">
        <f t="shared" si="0"/>
        <v>0.92869769241025379</v>
      </c>
      <c r="T101" s="27" t="s">
        <v>147</v>
      </c>
      <c r="U101" s="27">
        <v>7.0515707274954889E-2</v>
      </c>
      <c r="V101" s="27">
        <v>0.14213837326067347</v>
      </c>
    </row>
    <row r="102" spans="3:22" x14ac:dyDescent="0.2">
      <c r="C102">
        <v>6.6855867463328042E-2</v>
      </c>
      <c r="D102">
        <v>0.14115496677438069</v>
      </c>
      <c r="E102">
        <f t="shared" si="0"/>
        <v>0.92451959317200538</v>
      </c>
      <c r="T102" s="27" t="s">
        <v>146</v>
      </c>
      <c r="U102" s="27">
        <v>7.1937653119502121E-2</v>
      </c>
      <c r="V102" s="27">
        <v>0.14288576004162823</v>
      </c>
    </row>
    <row r="103" spans="3:22" x14ac:dyDescent="0.2">
      <c r="C103">
        <v>6.793156182986497E-2</v>
      </c>
      <c r="D103">
        <v>0.14187391619753312</v>
      </c>
      <c r="E103">
        <f t="shared" si="0"/>
        <v>0.92046328874512018</v>
      </c>
      <c r="T103" s="27" t="s">
        <v>145</v>
      </c>
      <c r="U103" s="27">
        <v>7.3395097758885239E-2</v>
      </c>
      <c r="V103" s="27">
        <v>0.14363314682258299</v>
      </c>
    </row>
    <row r="104" spans="3:22" x14ac:dyDescent="0.2">
      <c r="C104">
        <v>6.9007889477706905E-2</v>
      </c>
      <c r="D104">
        <v>0.14259286562069071</v>
      </c>
      <c r="E104">
        <f t="shared" si="0"/>
        <v>0.91652503378037309</v>
      </c>
      <c r="T104" s="27" t="s">
        <v>144</v>
      </c>
      <c r="U104" s="27">
        <v>7.4885968569356517E-2</v>
      </c>
      <c r="V104" s="27">
        <v>0.14438053360353778</v>
      </c>
    </row>
    <row r="105" spans="3:22" x14ac:dyDescent="0.2">
      <c r="C105">
        <v>7.0085759032414763E-2</v>
      </c>
      <c r="D105">
        <v>0.14331181504384516</v>
      </c>
      <c r="E105">
        <f t="shared" si="0"/>
        <v>0.9126876635271578</v>
      </c>
      <c r="T105" s="27" t="s">
        <v>143</v>
      </c>
      <c r="U105" s="27">
        <v>7.6408308952265108E-2</v>
      </c>
      <c r="V105" s="27">
        <v>0.14512792038449254</v>
      </c>
    </row>
    <row r="106" spans="3:22" x14ac:dyDescent="0.2">
      <c r="C106">
        <v>7.1176414626253778E-2</v>
      </c>
      <c r="D106">
        <v>0.14403076446699958</v>
      </c>
      <c r="E106">
        <f t="shared" ref="E106:E141" si="1">(D106-$N$10)/C106</f>
        <v>0.90880325204125878</v>
      </c>
      <c r="T106" s="27" t="s">
        <v>142</v>
      </c>
      <c r="U106" s="27">
        <v>7.7960275398171588E-2</v>
      </c>
      <c r="V106" s="27">
        <v>0.14587530716544728</v>
      </c>
    </row>
    <row r="107" spans="3:22" x14ac:dyDescent="0.2">
      <c r="C107">
        <v>7.2283968423057149E-2</v>
      </c>
      <c r="D107">
        <v>0.14474971389015359</v>
      </c>
      <c r="E107">
        <f t="shared" si="1"/>
        <v>0.90482451269606523</v>
      </c>
      <c r="T107" s="27" t="s">
        <v>141</v>
      </c>
      <c r="U107" s="27">
        <v>7.9540133757824052E-2</v>
      </c>
      <c r="V107" s="27">
        <v>0.14662269394640204</v>
      </c>
    </row>
    <row r="108" spans="3:22" x14ac:dyDescent="0.2">
      <c r="C108">
        <v>7.3407426078746507E-2</v>
      </c>
      <c r="D108">
        <v>0.14546866331330813</v>
      </c>
      <c r="E108">
        <f t="shared" si="1"/>
        <v>0.90077066394280669</v>
      </c>
      <c r="T108" s="27" t="s">
        <v>140</v>
      </c>
      <c r="U108" s="27">
        <v>8.1146254941963508E-2</v>
      </c>
      <c r="V108" s="27">
        <v>0.14737008072735683</v>
      </c>
    </row>
    <row r="109" spans="3:22" x14ac:dyDescent="0.2">
      <c r="C109">
        <v>7.4546283075365857E-2</v>
      </c>
      <c r="D109">
        <v>0.14618761273646258</v>
      </c>
      <c r="E109">
        <f t="shared" si="1"/>
        <v>0.89665376451918288</v>
      </c>
      <c r="T109" s="27" t="s">
        <v>139</v>
      </c>
      <c r="U109" s="27">
        <v>8.2777110234892592E-2</v>
      </c>
      <c r="V109" s="27">
        <v>0.14811746750831151</v>
      </c>
    </row>
    <row r="110" spans="3:22" x14ac:dyDescent="0.2">
      <c r="C110">
        <v>7.569975944559669E-2</v>
      </c>
      <c r="D110">
        <v>0.14690656215961731</v>
      </c>
      <c r="E110">
        <f t="shared" si="1"/>
        <v>0.89248836810569387</v>
      </c>
      <c r="T110" s="27" t="s">
        <v>138</v>
      </c>
      <c r="U110" s="27">
        <v>8.4431266373380803E-2</v>
      </c>
      <c r="V110" s="27">
        <v>0.14886485428926632</v>
      </c>
    </row>
    <row r="111" spans="3:22" x14ac:dyDescent="0.2">
      <c r="C111">
        <v>7.6867263162970489E-2</v>
      </c>
      <c r="D111">
        <v>0.14762551158273923</v>
      </c>
      <c r="E111">
        <f t="shared" si="1"/>
        <v>0.88828587602958764</v>
      </c>
      <c r="T111" s="27" t="s">
        <v>137</v>
      </c>
      <c r="U111" s="27">
        <v>8.5902109683640537E-2</v>
      </c>
      <c r="V111" s="27">
        <v>0.14961224107022106</v>
      </c>
    </row>
    <row r="112" spans="3:22" x14ac:dyDescent="0.2">
      <c r="C112">
        <v>7.8048039025406413E-2</v>
      </c>
      <c r="D112">
        <v>0.14834446100590828</v>
      </c>
      <c r="E112">
        <f t="shared" si="1"/>
        <v>0.88405877305161229</v>
      </c>
      <c r="T112" s="27" t="s">
        <v>136</v>
      </c>
      <c r="U112" s="27">
        <v>0.10089852986668563</v>
      </c>
      <c r="V112" s="27">
        <v>0.1503596278511759</v>
      </c>
    </row>
    <row r="113" spans="3:22" x14ac:dyDescent="0.2">
      <c r="C113">
        <v>7.9241529210234751E-2</v>
      </c>
      <c r="D113">
        <v>0.14906341042904867</v>
      </c>
      <c r="E113">
        <f t="shared" si="1"/>
        <v>0.87981647676255126</v>
      </c>
      <c r="T113" s="27" t="s">
        <v>135</v>
      </c>
      <c r="U113" s="27">
        <v>8.761812633984141E-2</v>
      </c>
      <c r="V113" s="27">
        <v>0.15110701463213064</v>
      </c>
    </row>
    <row r="114" spans="3:22" x14ac:dyDescent="0.2">
      <c r="C114">
        <v>8.0447193097522685E-2</v>
      </c>
      <c r="D114">
        <v>0.14978235985223487</v>
      </c>
      <c r="E114">
        <f t="shared" si="1"/>
        <v>0.87556755871922132</v>
      </c>
      <c r="T114" s="27" t="s">
        <v>134</v>
      </c>
      <c r="U114" s="27">
        <v>0.10367846203581063</v>
      </c>
      <c r="V114" s="27">
        <v>0.1518544014130854</v>
      </c>
    </row>
    <row r="115" spans="3:22" x14ac:dyDescent="0.2">
      <c r="C115">
        <v>8.1664511678084223E-2</v>
      </c>
      <c r="D115">
        <v>0.15050130927538632</v>
      </c>
      <c r="E115">
        <f t="shared" si="1"/>
        <v>0.87131974987929595</v>
      </c>
      <c r="T115" s="27" t="s">
        <v>133</v>
      </c>
      <c r="U115" s="27">
        <v>8.9335429611881109E-2</v>
      </c>
      <c r="V115" s="27">
        <v>0.15260178819404011</v>
      </c>
    </row>
    <row r="116" spans="3:22" x14ac:dyDescent="0.2">
      <c r="C116">
        <v>8.2892953766217956E-2</v>
      </c>
      <c r="D116">
        <v>0.15122025869854044</v>
      </c>
      <c r="E116">
        <f t="shared" si="1"/>
        <v>0.86708034937716327</v>
      </c>
      <c r="T116" s="27" t="s">
        <v>132</v>
      </c>
      <c r="U116" s="27">
        <v>0.10591761871510155</v>
      </c>
      <c r="V116" s="27">
        <v>0.15334917497499492</v>
      </c>
    </row>
    <row r="117" spans="3:22" x14ac:dyDescent="0.2">
      <c r="C117">
        <v>8.4132022876364454E-2</v>
      </c>
      <c r="D117">
        <v>0.15193920812169551</v>
      </c>
      <c r="E117">
        <f t="shared" si="1"/>
        <v>0.86285576233382633</v>
      </c>
      <c r="T117" s="27" t="s">
        <v>131</v>
      </c>
      <c r="U117" s="27">
        <v>9.1053946701969438E-2</v>
      </c>
      <c r="V117" s="27">
        <v>0.15409656175594966</v>
      </c>
    </row>
    <row r="118" spans="3:22" x14ac:dyDescent="0.2">
      <c r="C118">
        <v>8.5381262353885962E-2</v>
      </c>
      <c r="D118">
        <v>0.15265815754485004</v>
      </c>
      <c r="E118">
        <f t="shared" si="1"/>
        <v>0.85865151366540104</v>
      </c>
      <c r="T118" s="27" t="s">
        <v>130</v>
      </c>
      <c r="U118" s="27">
        <v>0.10725208401020828</v>
      </c>
      <c r="V118" s="27">
        <v>0.15484394853690447</v>
      </c>
    </row>
    <row r="119" spans="3:22" x14ac:dyDescent="0.2">
      <c r="C119">
        <v>8.6640258354199806E-2</v>
      </c>
      <c r="D119">
        <v>0.15337710696795237</v>
      </c>
      <c r="E119">
        <f t="shared" si="1"/>
        <v>0.85447228561202249</v>
      </c>
      <c r="T119" s="27" t="s">
        <v>129</v>
      </c>
      <c r="U119" s="27">
        <v>9.2773610156668893E-2</v>
      </c>
      <c r="V119" s="27">
        <v>0.15559133531785915</v>
      </c>
    </row>
    <row r="120" spans="3:22" x14ac:dyDescent="0.2">
      <c r="C120">
        <v>8.7908517206816444E-2</v>
      </c>
      <c r="D120">
        <v>0.1540960563911532</v>
      </c>
      <c r="E120">
        <f t="shared" si="1"/>
        <v>0.85032316981606293</v>
      </c>
      <c r="T120" s="27" t="s">
        <v>128</v>
      </c>
      <c r="U120" s="27">
        <v>0.1086695281116709</v>
      </c>
      <c r="V120" s="27">
        <v>0.15633872209881397</v>
      </c>
    </row>
    <row r="121" spans="3:22" x14ac:dyDescent="0.2">
      <c r="C121">
        <v>8.9185711033778259E-2</v>
      </c>
      <c r="D121">
        <v>0.15481500581430985</v>
      </c>
      <c r="E121">
        <f t="shared" si="1"/>
        <v>0.84620728537672707</v>
      </c>
      <c r="T121" s="27" t="s">
        <v>127</v>
      </c>
      <c r="U121" s="27">
        <v>9.4494357389363806E-2</v>
      </c>
      <c r="V121" s="27">
        <v>0.1570861088797687</v>
      </c>
    </row>
    <row r="122" spans="3:22" x14ac:dyDescent="0.2">
      <c r="C122">
        <v>9.0471438167532101E-2</v>
      </c>
      <c r="D122">
        <v>0.15553395523746846</v>
      </c>
      <c r="E122">
        <f t="shared" si="1"/>
        <v>0.8421281831550177</v>
      </c>
      <c r="T122" s="27" t="s">
        <v>126</v>
      </c>
      <c r="U122" s="27">
        <v>0.11016674816258779</v>
      </c>
      <c r="V122" s="27">
        <v>0.15783349566072355</v>
      </c>
    </row>
    <row r="123" spans="3:22" x14ac:dyDescent="0.2">
      <c r="C123">
        <v>9.1765395270626424E-2</v>
      </c>
      <c r="D123">
        <v>0.1562529046605394</v>
      </c>
      <c r="E123">
        <f t="shared" si="1"/>
        <v>0.83808822538940131</v>
      </c>
      <c r="T123" s="27" t="s">
        <v>125</v>
      </c>
      <c r="U123" s="27">
        <v>9.6216130252608043E-2</v>
      </c>
      <c r="V123" s="27">
        <v>0.15858088244167823</v>
      </c>
    </row>
    <row r="124" spans="3:22" x14ac:dyDescent="0.2">
      <c r="C124">
        <v>9.306709333081295E-2</v>
      </c>
      <c r="D124">
        <v>0.15697185408377523</v>
      </c>
      <c r="E124">
        <f t="shared" si="1"/>
        <v>0.83409123374922556</v>
      </c>
      <c r="T124" s="27" t="s">
        <v>124</v>
      </c>
      <c r="U124" s="27">
        <v>0.11174053743673423</v>
      </c>
      <c r="V124" s="27">
        <v>0.15932826922263299</v>
      </c>
    </row>
    <row r="125" spans="3:22" x14ac:dyDescent="0.2">
      <c r="C125">
        <v>9.4376362125733429E-2</v>
      </c>
      <c r="D125">
        <v>0.15769080350692921</v>
      </c>
      <c r="E125">
        <f t="shared" si="1"/>
        <v>0.83013791119146962</v>
      </c>
      <c r="T125" s="27" t="s">
        <v>123</v>
      </c>
      <c r="U125" s="27">
        <v>9.7938874654427147E-2</v>
      </c>
      <c r="V125" s="27">
        <v>0.1600756560035877</v>
      </c>
    </row>
    <row r="126" spans="3:22" x14ac:dyDescent="0.2">
      <c r="C126">
        <v>9.5692852076595322E-2</v>
      </c>
      <c r="D126">
        <v>0.15840975293007678</v>
      </c>
      <c r="E126">
        <f t="shared" si="1"/>
        <v>0.82623042189993734</v>
      </c>
      <c r="T126" s="27" t="s">
        <v>122</v>
      </c>
      <c r="U126" s="27">
        <v>0.11338770770152599</v>
      </c>
      <c r="V126" s="27">
        <v>0.16082304278454246</v>
      </c>
    </row>
    <row r="127" spans="3:22" x14ac:dyDescent="0.2">
      <c r="C127">
        <v>9.7016219077092111E-2</v>
      </c>
      <c r="D127">
        <v>0.15912870235323073</v>
      </c>
      <c r="E127">
        <f t="shared" si="1"/>
        <v>0.8223706894185322</v>
      </c>
      <c r="T127" s="27" t="s">
        <v>121</v>
      </c>
      <c r="U127" s="27">
        <v>9.96625402134379E-2</v>
      </c>
      <c r="V127" s="27">
        <v>0.16157042956549722</v>
      </c>
    </row>
    <row r="128" spans="3:22" x14ac:dyDescent="0.2">
      <c r="C128">
        <v>9.8346236470407786E-2</v>
      </c>
      <c r="D128">
        <v>0.15984765177637983</v>
      </c>
      <c r="E128">
        <f t="shared" si="1"/>
        <v>0.81855948208632956</v>
      </c>
      <c r="T128" s="27" t="s">
        <v>120</v>
      </c>
      <c r="U128" s="27">
        <v>0.11510510872323851</v>
      </c>
      <c r="V128" s="27">
        <v>0.16231781634645201</v>
      </c>
    </row>
    <row r="129" spans="3:22" x14ac:dyDescent="0.2">
      <c r="C129">
        <v>9.9682562316846926E-2</v>
      </c>
      <c r="D129">
        <v>0.16056660119955091</v>
      </c>
      <c r="E129">
        <f t="shared" si="1"/>
        <v>0.81479841534732422</v>
      </c>
      <c r="T129" s="27" t="s">
        <v>119</v>
      </c>
      <c r="U129" s="27">
        <v>0.10138707994831207</v>
      </c>
      <c r="V129" s="27">
        <v>0.16306520312740672</v>
      </c>
    </row>
    <row r="130" spans="3:22" x14ac:dyDescent="0.2">
      <c r="C130">
        <v>0.10102504740895323</v>
      </c>
      <c r="D130">
        <v>0.16128555062270505</v>
      </c>
      <c r="E130">
        <f t="shared" si="1"/>
        <v>0.81108740196859408</v>
      </c>
      <c r="T130" s="27" t="s">
        <v>118</v>
      </c>
      <c r="U130" s="27">
        <v>0.11655231413157967</v>
      </c>
      <c r="V130" s="27">
        <v>0.16381258990836159</v>
      </c>
    </row>
    <row r="131" spans="3:22" x14ac:dyDescent="0.2">
      <c r="C131">
        <v>0.10237343891989635</v>
      </c>
      <c r="D131">
        <v>0.16200450004585948</v>
      </c>
      <c r="E131">
        <f t="shared" si="1"/>
        <v>0.80742713668644273</v>
      </c>
      <c r="T131" s="27" t="s">
        <v>117</v>
      </c>
      <c r="U131" s="27">
        <v>0.10311244999769179</v>
      </c>
      <c r="V131" s="27">
        <v>0.16455997668931624</v>
      </c>
    </row>
    <row r="132" spans="3:22" x14ac:dyDescent="0.2">
      <c r="C132">
        <v>0.10373518444698179</v>
      </c>
      <c r="D132">
        <v>0.16272344946901388</v>
      </c>
      <c r="E132">
        <f t="shared" si="1"/>
        <v>0.80375855624573145</v>
      </c>
      <c r="T132" s="27" t="s">
        <v>116</v>
      </c>
      <c r="U132" s="27">
        <v>0.11832686872577823</v>
      </c>
      <c r="V132" s="27">
        <v>0.16530736347027106</v>
      </c>
    </row>
    <row r="133" spans="3:22" x14ac:dyDescent="0.2">
      <c r="C133">
        <v>0.10511988110999429</v>
      </c>
      <c r="D133">
        <v>0.16344239889216794</v>
      </c>
      <c r="E133">
        <f t="shared" si="1"/>
        <v>0.8000103369423357</v>
      </c>
      <c r="T133" s="27" t="s">
        <v>115</v>
      </c>
      <c r="U133" s="27">
        <v>0.1048386093671521</v>
      </c>
      <c r="V133" s="27">
        <v>0.16605475025122576</v>
      </c>
    </row>
    <row r="134" spans="3:22" x14ac:dyDescent="0.2">
      <c r="C134">
        <v>0.1065268370907466</v>
      </c>
      <c r="D134">
        <v>0.16416134831531939</v>
      </c>
      <c r="E134">
        <f t="shared" si="1"/>
        <v>0.79619317765948905</v>
      </c>
      <c r="T134" s="27" t="s">
        <v>114</v>
      </c>
      <c r="U134" s="27">
        <v>0.12109671912135156</v>
      </c>
      <c r="V134" s="27">
        <v>0.16680213703218061</v>
      </c>
    </row>
    <row r="135" spans="3:22" x14ac:dyDescent="0.2">
      <c r="C135">
        <v>0.10795511750157161</v>
      </c>
      <c r="D135">
        <v>0.16488029773847152</v>
      </c>
      <c r="E135">
        <f t="shared" si="1"/>
        <v>0.79231899637553693</v>
      </c>
      <c r="T135" s="27" t="s">
        <v>113</v>
      </c>
      <c r="U135" s="27">
        <v>0.1065655197002337</v>
      </c>
      <c r="V135" s="27">
        <v>0.16754952381313531</v>
      </c>
    </row>
    <row r="136" spans="3:22" x14ac:dyDescent="0.2">
      <c r="C136">
        <v>0.10940386797693041</v>
      </c>
      <c r="D136">
        <v>0.16559924716162369</v>
      </c>
      <c r="E136">
        <f t="shared" si="1"/>
        <v>0.78839844852458585</v>
      </c>
      <c r="T136" s="27" t="s">
        <v>112</v>
      </c>
      <c r="U136" s="27">
        <v>0.12276102939801337</v>
      </c>
      <c r="V136" s="27">
        <v>0.16829691059409013</v>
      </c>
    </row>
    <row r="137" spans="3:22" x14ac:dyDescent="0.2">
      <c r="C137">
        <v>0.11087230604944132</v>
      </c>
      <c r="D137">
        <v>0.16631819658478536</v>
      </c>
      <c r="E137">
        <f t="shared" si="1"/>
        <v>0.78444105924863172</v>
      </c>
      <c r="T137" s="27" t="s">
        <v>111</v>
      </c>
      <c r="U137" s="27">
        <v>0.1082931450709335</v>
      </c>
      <c r="V137" s="27">
        <v>0.16904429737504484</v>
      </c>
    </row>
    <row r="138" spans="3:22" x14ac:dyDescent="0.2">
      <c r="C138">
        <v>0.11235966659048774</v>
      </c>
      <c r="D138">
        <v>0.16703714600793737</v>
      </c>
      <c r="E138">
        <f t="shared" si="1"/>
        <v>0.78045566779332298</v>
      </c>
      <c r="T138" s="27" t="s">
        <v>110</v>
      </c>
      <c r="U138" s="27">
        <v>0.12288257344482137</v>
      </c>
      <c r="V138" s="27">
        <v>0.16979168415599966</v>
      </c>
    </row>
    <row r="139" spans="3:22" x14ac:dyDescent="0.2">
      <c r="C139">
        <v>0.11386520916397277</v>
      </c>
      <c r="D139">
        <v>0.16775609543109371</v>
      </c>
      <c r="E139">
        <f t="shared" si="1"/>
        <v>0.77645040740893778</v>
      </c>
      <c r="T139" s="27" t="s">
        <v>109</v>
      </c>
      <c r="U139" s="27">
        <v>0.11002145179535833</v>
      </c>
      <c r="V139" s="27">
        <v>0.17053907093695431</v>
      </c>
    </row>
    <row r="140" spans="3:22" x14ac:dyDescent="0.2">
      <c r="C140">
        <v>0.11538819644570883</v>
      </c>
      <c r="D140">
        <v>0.16847504485424414</v>
      </c>
      <c r="E140">
        <f t="shared" si="1"/>
        <v>0.77243288493686857</v>
      </c>
      <c r="T140" s="27" t="s">
        <v>108</v>
      </c>
      <c r="U140" s="27">
        <v>0.12304047448581897</v>
      </c>
      <c r="V140" s="27">
        <v>0.17128645771790921</v>
      </c>
    </row>
    <row r="141" spans="3:22" x14ac:dyDescent="0.2">
      <c r="C141" t="e">
        <v>#N/A</v>
      </c>
      <c r="D141" t="e">
        <v>#N/A</v>
      </c>
      <c r="E141" t="e">
        <f t="shared" si="1"/>
        <v>#N/A</v>
      </c>
      <c r="T141" s="27" t="s">
        <v>107</v>
      </c>
      <c r="U141" s="27">
        <v>0.12316181599182521</v>
      </c>
      <c r="V141" s="27">
        <v>0.172033844498864</v>
      </c>
    </row>
  </sheetData>
  <sortState columnSort="1" ref="C21:P35">
    <sortCondition ref="C21:P21"/>
  </sortState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62"/>
  <sheetViews>
    <sheetView workbookViewId="0">
      <pane xSplit="1" ySplit="2" topLeftCell="B213" activePane="bottomRight" state="frozen"/>
      <selection pane="topRight" activeCell="B1" sqref="B1"/>
      <selection pane="bottomLeft" activeCell="A3" sqref="A3"/>
      <selection pane="bottomRight"/>
    </sheetView>
  </sheetViews>
  <sheetFormatPr defaultRowHeight="12.75" x14ac:dyDescent="0.2"/>
  <cols>
    <col min="1" max="1" width="10.140625" bestFit="1" customWidth="1"/>
  </cols>
  <sheetData>
    <row r="1" spans="1:11" x14ac:dyDescent="0.2">
      <c r="B1" s="34" t="s">
        <v>38</v>
      </c>
    </row>
    <row r="2" spans="1:11" x14ac:dyDescent="0.2">
      <c r="A2" t="s">
        <v>39</v>
      </c>
      <c r="B2" t="s">
        <v>15</v>
      </c>
      <c r="C2" t="s">
        <v>16</v>
      </c>
      <c r="D2" t="s">
        <v>17</v>
      </c>
      <c r="E2" t="s">
        <v>18</v>
      </c>
      <c r="F2" t="s">
        <v>19</v>
      </c>
      <c r="G2" t="s">
        <v>20</v>
      </c>
      <c r="H2" t="s">
        <v>21</v>
      </c>
      <c r="I2" t="s">
        <v>22</v>
      </c>
      <c r="J2" t="s">
        <v>23</v>
      </c>
      <c r="K2" t="s">
        <v>24</v>
      </c>
    </row>
    <row r="3" spans="1:11" x14ac:dyDescent="0.2">
      <c r="A3" s="33">
        <v>42737</v>
      </c>
      <c r="B3" s="35">
        <v>4.5862897027452998E-2</v>
      </c>
      <c r="C3" s="35">
        <v>6.3867383270953315E-2</v>
      </c>
      <c r="D3" s="35">
        <v>0.23988698287517071</v>
      </c>
      <c r="E3" s="35">
        <v>8.8876296724050188E-2</v>
      </c>
      <c r="F3" s="35">
        <v>0.12477363979671657</v>
      </c>
      <c r="G3" s="35">
        <v>0.16643349682126429</v>
      </c>
      <c r="H3" s="35">
        <v>0.20297601755848463</v>
      </c>
      <c r="I3" s="35">
        <v>5.9467420261715788E-2</v>
      </c>
      <c r="J3" s="35">
        <v>0.10748467385885141</v>
      </c>
      <c r="K3" s="35">
        <v>0.13575596235742934</v>
      </c>
    </row>
    <row r="4" spans="1:11" x14ac:dyDescent="0.2">
      <c r="A4" s="33">
        <v>42738</v>
      </c>
      <c r="B4" s="35">
        <v>-3.0224288899268131E-2</v>
      </c>
      <c r="C4" s="35">
        <v>-0.26654537173033821</v>
      </c>
      <c r="D4" s="35">
        <v>-0.12529290662737372</v>
      </c>
      <c r="E4" s="35">
        <v>-0.10530893856057641</v>
      </c>
      <c r="F4" s="35">
        <v>-7.3144496143165538E-2</v>
      </c>
      <c r="G4" s="35">
        <v>8.0991081070398541E-2</v>
      </c>
      <c r="H4" s="35">
        <v>-0.27128158785685175</v>
      </c>
      <c r="I4" s="35">
        <v>-0.11051446608285238</v>
      </c>
      <c r="J4" s="35">
        <v>-1.5047720726561766E-3</v>
      </c>
      <c r="K4" s="35">
        <v>-2.3759155582448409E-2</v>
      </c>
    </row>
    <row r="5" spans="1:11" x14ac:dyDescent="0.2">
      <c r="A5" s="33">
        <v>42739</v>
      </c>
      <c r="B5" s="35">
        <v>0.18804317265844719</v>
      </c>
      <c r="C5" s="35">
        <v>0.17238241553690573</v>
      </c>
      <c r="D5" s="35">
        <v>0.14469144410401522</v>
      </c>
      <c r="E5" s="35">
        <v>0.14141086327086996</v>
      </c>
      <c r="F5" s="35">
        <v>0.18157262887073725</v>
      </c>
      <c r="G5" s="35">
        <v>0.11609984870837473</v>
      </c>
      <c r="H5" s="35">
        <v>0.1442456192053522</v>
      </c>
      <c r="I5" s="35">
        <v>0.16238660021244411</v>
      </c>
      <c r="J5" s="35">
        <v>9.4397180342993769E-2</v>
      </c>
      <c r="K5" s="35">
        <v>0.23817606764230928</v>
      </c>
    </row>
    <row r="6" spans="1:11" x14ac:dyDescent="0.2">
      <c r="A6" s="33">
        <v>42740</v>
      </c>
      <c r="B6" s="35">
        <v>0.20057739509230391</v>
      </c>
      <c r="C6" s="35">
        <v>5.0089848306943907E-2</v>
      </c>
      <c r="D6" s="35">
        <v>0.1091643479793174</v>
      </c>
      <c r="E6" s="35">
        <v>4.3236558932860554E-2</v>
      </c>
      <c r="F6" s="35">
        <v>8.1959185618500782E-2</v>
      </c>
      <c r="G6" s="35">
        <v>0.10154014494504363</v>
      </c>
      <c r="H6" s="35">
        <v>0.13322590997689662</v>
      </c>
      <c r="I6" s="35">
        <v>5.43857951723761E-2</v>
      </c>
      <c r="J6" s="35">
        <v>8.4171803545325191E-2</v>
      </c>
      <c r="K6" s="35">
        <v>0.15144813792190262</v>
      </c>
    </row>
    <row r="7" spans="1:11" x14ac:dyDescent="0.2">
      <c r="A7" s="33">
        <v>42741</v>
      </c>
      <c r="B7" s="35">
        <v>0.11168345807114453</v>
      </c>
      <c r="C7" s="35">
        <v>1.860299490530628E-3</v>
      </c>
      <c r="D7" s="35">
        <v>0.31236901750965207</v>
      </c>
      <c r="E7" s="35">
        <v>8.7756380015622068E-2</v>
      </c>
      <c r="F7" s="35">
        <v>0.12172262821840674</v>
      </c>
      <c r="G7" s="35">
        <v>0.13150554375536938</v>
      </c>
      <c r="H7" s="35">
        <v>0.11578050514826307</v>
      </c>
      <c r="I7" s="35">
        <v>5.3992007127733966E-3</v>
      </c>
      <c r="J7" s="35">
        <v>9.6379130006757435E-2</v>
      </c>
      <c r="K7" s="35">
        <v>8.8325681726557165E-2</v>
      </c>
    </row>
    <row r="8" spans="1:11" x14ac:dyDescent="0.2">
      <c r="A8" s="33">
        <v>42744</v>
      </c>
      <c r="B8" s="35">
        <v>-0.11371335514901447</v>
      </c>
      <c r="C8" s="35">
        <v>-0.1385773712447001</v>
      </c>
      <c r="D8" s="35">
        <v>5.6205315835816373E-2</v>
      </c>
      <c r="E8" s="35">
        <v>-7.8480266590975484E-2</v>
      </c>
      <c r="F8" s="35">
        <v>-4.2080236043615993E-2</v>
      </c>
      <c r="G8" s="35">
        <v>0.13159965742450874</v>
      </c>
      <c r="H8" s="35">
        <v>-2.775387307826804E-2</v>
      </c>
      <c r="I8" s="35">
        <v>-2.1705316211652712E-2</v>
      </c>
      <c r="J8" s="35">
        <v>3.6734267334210702E-2</v>
      </c>
      <c r="K8" s="35">
        <v>6.4242205071860153E-2</v>
      </c>
    </row>
    <row r="9" spans="1:11" x14ac:dyDescent="0.2">
      <c r="A9" s="33">
        <v>42745</v>
      </c>
      <c r="B9" s="35">
        <v>4.2152191941600518E-2</v>
      </c>
      <c r="C9" s="35">
        <v>-0.15177340107315335</v>
      </c>
      <c r="D9" s="35">
        <v>7.1039138686733339E-2</v>
      </c>
      <c r="E9" s="35">
        <v>-5.704237905903093E-2</v>
      </c>
      <c r="F9" s="35">
        <v>-1.4496988192339993E-2</v>
      </c>
      <c r="G9" s="35">
        <v>0.11344565345315794</v>
      </c>
      <c r="H9" s="35">
        <v>5.9040325951870811E-3</v>
      </c>
      <c r="I9" s="35">
        <v>0.10693459314194538</v>
      </c>
      <c r="J9" s="35">
        <v>-3.1887329146338531E-2</v>
      </c>
      <c r="K9" s="35">
        <v>0.17710879879251554</v>
      </c>
    </row>
    <row r="10" spans="1:11" x14ac:dyDescent="0.2">
      <c r="A10" s="33">
        <v>42746</v>
      </c>
      <c r="B10" s="35">
        <v>-3.5923084795965357E-2</v>
      </c>
      <c r="C10" s="35">
        <v>-4.5748814470198948E-2</v>
      </c>
      <c r="D10" s="35">
        <v>-3.8357378237068293E-2</v>
      </c>
      <c r="E10" s="35">
        <v>-6.1575583686101783E-2</v>
      </c>
      <c r="F10" s="35">
        <v>-1.7296611500200419E-2</v>
      </c>
      <c r="G10" s="35">
        <v>0.10417669766815917</v>
      </c>
      <c r="H10" s="35">
        <v>-7.3394837891929327E-2</v>
      </c>
      <c r="I10" s="35">
        <v>-1.4207874976886432E-2</v>
      </c>
      <c r="J10" s="35">
        <v>4.5301719642088706E-2</v>
      </c>
      <c r="K10" s="35">
        <v>8.0289273052976853E-2</v>
      </c>
    </row>
    <row r="11" spans="1:11" x14ac:dyDescent="0.2">
      <c r="A11" s="33">
        <v>42747</v>
      </c>
      <c r="B11" s="35">
        <v>5.7878160049095691E-2</v>
      </c>
      <c r="C11" s="35">
        <v>0.14182482447864117</v>
      </c>
      <c r="D11" s="35">
        <v>-1.3780863444897947E-2</v>
      </c>
      <c r="E11" s="35">
        <v>6.8644675145613121E-2</v>
      </c>
      <c r="F11" s="35">
        <v>0.10746005822350589</v>
      </c>
      <c r="G11" s="35">
        <v>0.13217547526115597</v>
      </c>
      <c r="H11" s="35">
        <v>-5.7632921370791963E-2</v>
      </c>
      <c r="I11" s="35">
        <v>-6.1815944785149485E-3</v>
      </c>
      <c r="J11" s="35">
        <v>5.9755886864880675E-2</v>
      </c>
      <c r="K11" s="35">
        <v>8.5761732711221519E-2</v>
      </c>
    </row>
    <row r="12" spans="1:11" x14ac:dyDescent="0.2">
      <c r="A12" s="33">
        <v>42748</v>
      </c>
      <c r="B12" s="35">
        <v>0.15983817071871684</v>
      </c>
      <c r="C12" s="35">
        <v>1.7959589833096569E-2</v>
      </c>
      <c r="D12" s="35">
        <v>1.6074069876807894E-2</v>
      </c>
      <c r="E12" s="35">
        <v>3.4446187814253966E-2</v>
      </c>
      <c r="F12" s="35">
        <v>7.1465556746742334E-2</v>
      </c>
      <c r="G12" s="35">
        <v>0.13975976272279439</v>
      </c>
      <c r="H12" s="35">
        <v>-4.5948735877806297E-2</v>
      </c>
      <c r="I12" s="35">
        <v>2.0698597374148493E-2</v>
      </c>
      <c r="J12" s="35">
        <v>4.0823415646510527E-2</v>
      </c>
      <c r="K12" s="35">
        <v>0.10531988601749154</v>
      </c>
    </row>
    <row r="13" spans="1:11" x14ac:dyDescent="0.2">
      <c r="A13" s="33">
        <v>42751</v>
      </c>
      <c r="B13" s="35">
        <v>0.14117353992656381</v>
      </c>
      <c r="C13" s="35">
        <v>0.16816262639525298</v>
      </c>
      <c r="D13" s="35">
        <v>0.3563704940307183</v>
      </c>
      <c r="E13" s="35">
        <v>0.23352706824377548</v>
      </c>
      <c r="F13" s="35">
        <v>0.26910440277374564</v>
      </c>
      <c r="G13" s="35">
        <v>0.20528467579432258</v>
      </c>
      <c r="H13" s="35">
        <v>0.12282089816563788</v>
      </c>
      <c r="I13" s="35">
        <v>0.10279401801674934</v>
      </c>
      <c r="J13" s="35">
        <v>0.10228243067758178</v>
      </c>
      <c r="K13" s="35">
        <v>0.1854978894829831</v>
      </c>
    </row>
    <row r="14" spans="1:11" x14ac:dyDescent="0.2">
      <c r="A14" s="33">
        <v>42752</v>
      </c>
      <c r="B14" s="35">
        <v>4.2143093327486683E-2</v>
      </c>
      <c r="C14" s="35">
        <v>-7.7948055638238797E-2</v>
      </c>
      <c r="D14" s="35">
        <v>5.4086382078747032E-2</v>
      </c>
      <c r="E14" s="35">
        <v>3.4688906260291405E-2</v>
      </c>
      <c r="F14" s="35">
        <v>7.5125202156933774E-2</v>
      </c>
      <c r="G14" s="35">
        <v>0.124955627568622</v>
      </c>
      <c r="H14" s="35">
        <v>-0.17957150469990693</v>
      </c>
      <c r="I14" s="35">
        <v>5.8375470198044843E-2</v>
      </c>
      <c r="J14" s="35">
        <v>-2.1302315018516298E-2</v>
      </c>
      <c r="K14" s="35">
        <v>0.12309926913493237</v>
      </c>
    </row>
    <row r="15" spans="1:11" x14ac:dyDescent="0.2">
      <c r="A15" s="33">
        <v>42753</v>
      </c>
      <c r="B15" s="35">
        <v>-7.5759790085827812E-3</v>
      </c>
      <c r="C15" s="35">
        <v>-0.10002487197822121</v>
      </c>
      <c r="D15" s="35">
        <v>9.3770424088260543E-2</v>
      </c>
      <c r="E15" s="35">
        <v>-3.1123412067020843E-2</v>
      </c>
      <c r="F15" s="35">
        <v>1.3539144939539444E-2</v>
      </c>
      <c r="G15" s="35">
        <v>0.1205056901710566</v>
      </c>
      <c r="H15" s="35">
        <v>-0.12730580537761052</v>
      </c>
      <c r="I15" s="35">
        <v>-8.0818091464968586E-3</v>
      </c>
      <c r="J15" s="35">
        <v>1.4851402791684979E-2</v>
      </c>
      <c r="K15" s="35">
        <v>8.5504535093631456E-2</v>
      </c>
    </row>
    <row r="16" spans="1:11" x14ac:dyDescent="0.2">
      <c r="A16" s="33">
        <v>42754</v>
      </c>
      <c r="B16" s="35">
        <v>-0.17636605922487808</v>
      </c>
      <c r="C16" s="35">
        <v>-2.3292402907808613E-2</v>
      </c>
      <c r="D16" s="35">
        <v>1.8673202599043291E-2</v>
      </c>
      <c r="E16" s="35">
        <v>-5.1196012272573789E-2</v>
      </c>
      <c r="F16" s="35">
        <v>-1.277133031810032E-2</v>
      </c>
      <c r="G16" s="35">
        <v>0.11472631709925542</v>
      </c>
      <c r="H16" s="35">
        <v>5.834565328908118E-2</v>
      </c>
      <c r="I16" s="35">
        <v>5.6312502950876503E-2</v>
      </c>
      <c r="J16" s="35">
        <v>5.0055830567532177E-2</v>
      </c>
      <c r="K16" s="35">
        <v>0.15111088896358002</v>
      </c>
    </row>
    <row r="17" spans="1:11" x14ac:dyDescent="0.2">
      <c r="A17" s="33">
        <v>42755</v>
      </c>
      <c r="B17" s="35">
        <v>9.4178556811658085E-2</v>
      </c>
      <c r="C17" s="35">
        <v>1.4972432090626295E-2</v>
      </c>
      <c r="D17" s="35">
        <v>0.21314059639338881</v>
      </c>
      <c r="E17" s="35">
        <v>7.7064445766384465E-2</v>
      </c>
      <c r="F17" s="35">
        <v>0.11522683529738351</v>
      </c>
      <c r="G17" s="35">
        <v>0.14279841501625756</v>
      </c>
      <c r="H17" s="35">
        <v>5.7761377972054273E-2</v>
      </c>
      <c r="I17" s="35">
        <v>2.0295365531966401E-2</v>
      </c>
      <c r="J17" s="35">
        <v>4.4261738152746269E-2</v>
      </c>
      <c r="K17" s="35">
        <v>0.11627689941228662</v>
      </c>
    </row>
    <row r="18" spans="1:11" x14ac:dyDescent="0.2">
      <c r="A18" s="33">
        <v>42758</v>
      </c>
      <c r="B18" s="35">
        <v>-1.7232828186518803E-2</v>
      </c>
      <c r="C18" s="35">
        <v>-3.722112512535352E-2</v>
      </c>
      <c r="D18" s="35">
        <v>0.12711315895312961</v>
      </c>
      <c r="E18" s="35">
        <v>2.2647683623095452E-2</v>
      </c>
      <c r="F18" s="35">
        <v>5.6466368165620957E-2</v>
      </c>
      <c r="G18" s="35">
        <v>0.13695837484247736</v>
      </c>
      <c r="H18" s="35">
        <v>-8.6687666597868348E-4</v>
      </c>
      <c r="I18" s="35">
        <v>1.7056258497219173E-2</v>
      </c>
      <c r="J18" s="35">
        <v>4.2727974673804077E-2</v>
      </c>
      <c r="K18" s="35">
        <v>0.11761920451818687</v>
      </c>
    </row>
    <row r="19" spans="1:11" x14ac:dyDescent="0.2">
      <c r="A19" s="33">
        <v>42759</v>
      </c>
      <c r="B19" s="35">
        <v>-0.17808869958530676</v>
      </c>
      <c r="C19" s="35">
        <v>-0.10065936766140988</v>
      </c>
      <c r="D19" s="35">
        <v>1.9849938187556225E-2</v>
      </c>
      <c r="E19" s="35">
        <v>-0.10812006029467768</v>
      </c>
      <c r="F19" s="35">
        <v>-6.7029750515025174E-2</v>
      </c>
      <c r="G19" s="35">
        <v>0.11389476393141114</v>
      </c>
      <c r="H19" s="35">
        <v>-2.0145449596967149E-2</v>
      </c>
      <c r="I19" s="35">
        <v>6.8082089710790356E-2</v>
      </c>
      <c r="J19" s="35">
        <v>2.1839523780399127E-2</v>
      </c>
      <c r="K19" s="35">
        <v>0.14634120170284773</v>
      </c>
    </row>
    <row r="20" spans="1:11" x14ac:dyDescent="0.2">
      <c r="A20" s="33">
        <v>42760</v>
      </c>
      <c r="B20" s="35">
        <v>-1.9005643700521005E-2</v>
      </c>
      <c r="C20" s="35">
        <v>2.7018942947016895E-3</v>
      </c>
      <c r="D20" s="35">
        <v>-0.14472395534312818</v>
      </c>
      <c r="E20" s="35">
        <v>-9.1967078555270892E-2</v>
      </c>
      <c r="F20" s="35">
        <v>-5.2716748348241173E-2</v>
      </c>
      <c r="G20" s="35">
        <v>9.0995121483499933E-2</v>
      </c>
      <c r="H20" s="35">
        <v>-3.5236565051046588E-2</v>
      </c>
      <c r="I20" s="35">
        <v>0.18044380840152743</v>
      </c>
      <c r="J20" s="35">
        <v>7.1276547370161286E-2</v>
      </c>
      <c r="K20" s="35">
        <v>0.26126575953319664</v>
      </c>
    </row>
    <row r="21" spans="1:11" x14ac:dyDescent="0.2">
      <c r="A21" s="33">
        <v>42761</v>
      </c>
      <c r="B21" s="35">
        <v>0.12416108268632657</v>
      </c>
      <c r="C21" s="35">
        <v>7.4608181679806998E-2</v>
      </c>
      <c r="D21" s="35">
        <v>0.28307994448622992</v>
      </c>
      <c r="E21" s="35">
        <v>0.10930209901758084</v>
      </c>
      <c r="F21" s="35">
        <v>0.14515473411489904</v>
      </c>
      <c r="G21" s="35">
        <v>0.14876267887833597</v>
      </c>
      <c r="H21" s="35">
        <v>7.5494939580008025E-2</v>
      </c>
      <c r="I21" s="35">
        <v>7.5887661884043833E-4</v>
      </c>
      <c r="J21" s="35">
        <v>0.10407550667729007</v>
      </c>
      <c r="K21" s="35">
        <v>8.9495707698564145E-2</v>
      </c>
    </row>
    <row r="22" spans="1:11" x14ac:dyDescent="0.2">
      <c r="A22" s="33">
        <v>42762</v>
      </c>
      <c r="B22" s="35">
        <v>0.12893854077926867</v>
      </c>
      <c r="C22" s="35">
        <v>8.9436309217508919E-2</v>
      </c>
      <c r="D22" s="35">
        <v>0.11224911323043638</v>
      </c>
      <c r="E22" s="35">
        <v>6.5737369112617045E-2</v>
      </c>
      <c r="F22" s="35">
        <v>0.10295531889245894</v>
      </c>
      <c r="G22" s="35">
        <v>0.13263248761442128</v>
      </c>
      <c r="H22" s="35">
        <v>-3.4069448091943073E-2</v>
      </c>
      <c r="I22" s="35">
        <v>6.5142945278301917E-2</v>
      </c>
      <c r="J22" s="35">
        <v>2.8773592898012304E-2</v>
      </c>
      <c r="K22" s="35">
        <v>0.1523127590419085</v>
      </c>
    </row>
    <row r="23" spans="1:11" x14ac:dyDescent="0.2">
      <c r="A23" s="33">
        <v>42765</v>
      </c>
      <c r="B23" s="35">
        <v>0.10386123478150007</v>
      </c>
      <c r="C23" s="35">
        <v>-3.5129627396313132E-2</v>
      </c>
      <c r="D23" s="35">
        <v>0.28583607335131689</v>
      </c>
      <c r="E23" s="35">
        <v>7.0805086841278203E-2</v>
      </c>
      <c r="F23" s="35">
        <v>0.1029262734515218</v>
      </c>
      <c r="G23" s="35">
        <v>0.16127361719995123</v>
      </c>
      <c r="H23" s="35">
        <v>8.2114458888821375E-3</v>
      </c>
      <c r="I23" s="35">
        <v>-4.5361401672659452E-3</v>
      </c>
      <c r="J23" s="35">
        <v>4.0982305240335345E-2</v>
      </c>
      <c r="K23" s="35">
        <v>9.0897650616894324E-2</v>
      </c>
    </row>
    <row r="24" spans="1:11" x14ac:dyDescent="0.2">
      <c r="A24" s="33">
        <v>42766</v>
      </c>
      <c r="B24" s="35">
        <v>0.17758690043344524</v>
      </c>
      <c r="C24" s="35">
        <v>0.23134965220227441</v>
      </c>
      <c r="D24" s="35">
        <v>0.398600875793092</v>
      </c>
      <c r="E24" s="35">
        <v>0.25432917015160694</v>
      </c>
      <c r="F24" s="35">
        <v>0.29100317912737111</v>
      </c>
      <c r="G24" s="35">
        <v>0.17455964165069449</v>
      </c>
      <c r="H24" s="35">
        <v>0.24974996064181051</v>
      </c>
      <c r="I24" s="35">
        <v>0.1334135306063759</v>
      </c>
      <c r="J24" s="35">
        <v>0.12710507289319717</v>
      </c>
      <c r="K24" s="35">
        <v>0.22083264353792301</v>
      </c>
    </row>
    <row r="25" spans="1:11" x14ac:dyDescent="0.2">
      <c r="A25" s="33">
        <v>42767</v>
      </c>
      <c r="B25" s="35">
        <v>7.0920443073281825E-2</v>
      </c>
      <c r="C25" s="35">
        <v>-3.1918531882520994E-2</v>
      </c>
      <c r="D25" s="35">
        <v>3.5193667568814624E-4</v>
      </c>
      <c r="E25" s="35">
        <v>-3.0169805605371237E-2</v>
      </c>
      <c r="F25" s="35">
        <v>3.350682881119801E-3</v>
      </c>
      <c r="G25" s="35">
        <v>9.628986459229491E-2</v>
      </c>
      <c r="H25" s="35">
        <v>-0.13691242908744838</v>
      </c>
      <c r="I25" s="35">
        <v>9.5684697794186632E-2</v>
      </c>
      <c r="J25" s="35">
        <v>6.6752772907510916E-2</v>
      </c>
      <c r="K25" s="35">
        <v>0.18397516851822104</v>
      </c>
    </row>
    <row r="26" spans="1:11" x14ac:dyDescent="0.2">
      <c r="A26" s="33">
        <v>42768</v>
      </c>
      <c r="B26" s="35">
        <v>-1.827350555928894E-2</v>
      </c>
      <c r="C26" s="35">
        <v>4.8890284666790927E-2</v>
      </c>
      <c r="D26" s="35">
        <v>0.20877196299379369</v>
      </c>
      <c r="E26" s="35">
        <v>6.631748055566343E-2</v>
      </c>
      <c r="F26" s="35">
        <v>0.11132085703722605</v>
      </c>
      <c r="G26" s="35">
        <v>0.14009277689636485</v>
      </c>
      <c r="H26" s="35">
        <v>-2.5420742196739054E-3</v>
      </c>
      <c r="I26" s="35">
        <v>4.1424765570066663E-2</v>
      </c>
      <c r="J26" s="35">
        <v>-1.0962950037788324E-2</v>
      </c>
      <c r="K26" s="35">
        <v>0.10917810561570403</v>
      </c>
    </row>
    <row r="27" spans="1:11" x14ac:dyDescent="0.2">
      <c r="A27" s="33">
        <v>42769</v>
      </c>
      <c r="B27" s="35">
        <v>0.14946642423914205</v>
      </c>
      <c r="C27" s="35">
        <v>4.3906796911522133E-2</v>
      </c>
      <c r="D27" s="35">
        <v>0.34544623031476362</v>
      </c>
      <c r="E27" s="35">
        <v>0.11873506945188338</v>
      </c>
      <c r="F27" s="35">
        <v>0.15337845183929283</v>
      </c>
      <c r="G27" s="35">
        <v>0.19260812057959903</v>
      </c>
      <c r="H27" s="35">
        <v>8.682572397481772E-2</v>
      </c>
      <c r="I27" s="35">
        <v>-0.10036765282176219</v>
      </c>
      <c r="J27" s="35">
        <v>8.5821372769645157E-3</v>
      </c>
      <c r="K27" s="35">
        <v>9.0650937107826653E-4</v>
      </c>
    </row>
    <row r="28" spans="1:11" x14ac:dyDescent="0.2">
      <c r="A28" s="33">
        <v>42772</v>
      </c>
      <c r="B28" s="35">
        <v>-8.275449023701606E-2</v>
      </c>
      <c r="C28" s="35">
        <v>-1.8493983212990686E-2</v>
      </c>
      <c r="D28" s="35">
        <v>0.13105568033908169</v>
      </c>
      <c r="E28" s="35">
        <v>1.9175629558664576E-2</v>
      </c>
      <c r="F28" s="35">
        <v>6.5767862621141843E-2</v>
      </c>
      <c r="G28" s="35">
        <v>0.15191400896071611</v>
      </c>
      <c r="H28" s="35">
        <v>5.8876482540949064E-2</v>
      </c>
      <c r="I28" s="35">
        <v>0.14728458170159955</v>
      </c>
      <c r="J28" s="35">
        <v>4.8141435052495019E-2</v>
      </c>
      <c r="K28" s="35">
        <v>0.21441360863834211</v>
      </c>
    </row>
    <row r="29" spans="1:11" x14ac:dyDescent="0.2">
      <c r="A29" s="33">
        <v>42773</v>
      </c>
      <c r="B29" s="35">
        <v>0.170696074365673</v>
      </c>
      <c r="C29" s="35">
        <v>0.20359137184990675</v>
      </c>
      <c r="D29" s="35">
        <v>0.26744793628839153</v>
      </c>
      <c r="E29" s="35">
        <v>0.14414779942932071</v>
      </c>
      <c r="F29" s="35">
        <v>0.18419758687828489</v>
      </c>
      <c r="G29" s="35">
        <v>0.12770897604321335</v>
      </c>
      <c r="H29" s="35">
        <v>0.20464913035003227</v>
      </c>
      <c r="I29" s="35">
        <v>2.4733838749204339E-2</v>
      </c>
      <c r="J29" s="35">
        <v>0.1033629646415103</v>
      </c>
      <c r="K29" s="35">
        <v>0.11639719235345378</v>
      </c>
    </row>
    <row r="30" spans="1:11" x14ac:dyDescent="0.2">
      <c r="A30" s="33">
        <v>42774</v>
      </c>
      <c r="B30" s="35">
        <v>6.9949714206160116E-3</v>
      </c>
      <c r="C30" s="35">
        <v>-5.9480823670856747E-2</v>
      </c>
      <c r="D30" s="35">
        <v>6.701260147428834E-4</v>
      </c>
      <c r="E30" s="35">
        <v>-1.2580110617164492E-2</v>
      </c>
      <c r="F30" s="35">
        <v>3.1801336453400962E-2</v>
      </c>
      <c r="G30" s="35">
        <v>0.11390449054165626</v>
      </c>
      <c r="H30" s="35">
        <v>3.8163580583662815E-2</v>
      </c>
      <c r="I30" s="35">
        <v>3.9436800962388517E-2</v>
      </c>
      <c r="J30" s="35">
        <v>8.7909890084640931E-3</v>
      </c>
      <c r="K30" s="35">
        <v>0.12238244766266407</v>
      </c>
    </row>
    <row r="31" spans="1:11" x14ac:dyDescent="0.2">
      <c r="A31" s="33">
        <v>42775</v>
      </c>
      <c r="B31" s="35">
        <v>0.12628218646389416</v>
      </c>
      <c r="C31" s="35">
        <v>-6.9035547670710254E-2</v>
      </c>
      <c r="D31" s="35">
        <v>6.5169962692790601E-2</v>
      </c>
      <c r="E31" s="35">
        <v>1.706453962448793E-2</v>
      </c>
      <c r="F31" s="35">
        <v>5.9587741255921152E-2</v>
      </c>
      <c r="G31" s="35">
        <v>0.11501072523690924</v>
      </c>
      <c r="H31" s="35">
        <v>-6.0172496960068045E-2</v>
      </c>
      <c r="I31" s="35">
        <v>-4.5411680553368999E-3</v>
      </c>
      <c r="J31" s="35">
        <v>-3.2845523068815992E-3</v>
      </c>
      <c r="K31" s="35">
        <v>8.3234001259916771E-2</v>
      </c>
    </row>
    <row r="32" spans="1:11" x14ac:dyDescent="0.2">
      <c r="A32" s="33">
        <v>42776</v>
      </c>
      <c r="B32" s="35">
        <v>-6.5514926131410314E-2</v>
      </c>
      <c r="C32" s="35">
        <v>8.0877101726972503E-2</v>
      </c>
      <c r="D32" s="35">
        <v>-3.7129806612678055E-2</v>
      </c>
      <c r="E32" s="35">
        <v>-3.10116723680562E-3</v>
      </c>
      <c r="F32" s="35">
        <v>4.1395870134995565E-2</v>
      </c>
      <c r="G32" s="35">
        <v>0.11590396802445441</v>
      </c>
      <c r="H32" s="35">
        <v>1.3374287077999931E-2</v>
      </c>
      <c r="I32" s="35">
        <v>0.22309567999580621</v>
      </c>
      <c r="J32" s="35">
        <v>0.1160070715093585</v>
      </c>
      <c r="K32" s="35">
        <v>0.29209529785293203</v>
      </c>
    </row>
    <row r="33" spans="1:11" x14ac:dyDescent="0.2">
      <c r="A33" s="33">
        <v>42779</v>
      </c>
      <c r="B33" s="35">
        <v>0.17079112306117364</v>
      </c>
      <c r="C33" s="35">
        <v>3.783677721537284E-2</v>
      </c>
      <c r="D33" s="35">
        <v>0.25235617116927656</v>
      </c>
      <c r="E33" s="35">
        <v>0.1278106214232031</v>
      </c>
      <c r="F33" s="35">
        <v>0.16624036711377943</v>
      </c>
      <c r="G33" s="35">
        <v>0.14048610556216093</v>
      </c>
      <c r="H33" s="35">
        <v>-2.6624975874739585E-2</v>
      </c>
      <c r="I33" s="35">
        <v>-4.3815942689199319E-2</v>
      </c>
      <c r="J33" s="35">
        <v>7.357752264851887E-2</v>
      </c>
      <c r="K33" s="35">
        <v>5.9270118269138299E-2</v>
      </c>
    </row>
    <row r="34" spans="1:11" x14ac:dyDescent="0.2">
      <c r="A34" s="33">
        <v>42780</v>
      </c>
      <c r="B34" s="35">
        <v>-0.18363718278494987</v>
      </c>
      <c r="C34" s="35">
        <v>-0.19869228794052018</v>
      </c>
      <c r="D34" s="35">
        <v>-4.5496288606530697E-2</v>
      </c>
      <c r="E34" s="35">
        <v>-0.11936836242311974</v>
      </c>
      <c r="F34" s="35">
        <v>-7.4265948576900498E-2</v>
      </c>
      <c r="G34" s="35">
        <v>8.1387442807381777E-2</v>
      </c>
      <c r="H34" s="35">
        <v>-0.11029867879990057</v>
      </c>
      <c r="I34" s="35">
        <v>1.1289513828838072E-2</v>
      </c>
      <c r="J34" s="35">
        <v>7.1445775642160654E-3</v>
      </c>
      <c r="K34" s="35">
        <v>8.9941346103536962E-2</v>
      </c>
    </row>
    <row r="35" spans="1:11" x14ac:dyDescent="0.2">
      <c r="A35" s="33">
        <v>42781</v>
      </c>
      <c r="B35" s="35">
        <v>0.1334554413438559</v>
      </c>
      <c r="C35" s="35">
        <v>2.7695464708064298E-2</v>
      </c>
      <c r="D35" s="35">
        <v>3.6514951307805119E-2</v>
      </c>
      <c r="E35" s="35">
        <v>1.0557495548872767E-2</v>
      </c>
      <c r="F35" s="35">
        <v>5.2259911481930141E-2</v>
      </c>
      <c r="G35" s="35">
        <v>0.1022856975434389</v>
      </c>
      <c r="H35" s="35">
        <v>8.3738159063249783E-3</v>
      </c>
      <c r="I35" s="35">
        <v>5.2250619820373566E-2</v>
      </c>
      <c r="J35" s="35">
        <v>3.5016545592657572E-2</v>
      </c>
      <c r="K35" s="35">
        <v>0.13287875079270151</v>
      </c>
    </row>
    <row r="36" spans="1:11" x14ac:dyDescent="0.2">
      <c r="A36" s="33">
        <v>42782</v>
      </c>
      <c r="B36" s="35">
        <v>-2.6181563657279715E-2</v>
      </c>
      <c r="C36" s="35">
        <v>-0.15770108012732115</v>
      </c>
      <c r="D36" s="35">
        <v>-0.13843529213548011</v>
      </c>
      <c r="E36" s="35">
        <v>-0.14073807985937045</v>
      </c>
      <c r="F36" s="35">
        <v>-0.10596244016318372</v>
      </c>
      <c r="G36" s="35">
        <v>7.2920105547718703E-2</v>
      </c>
      <c r="H36" s="35">
        <v>-8.5756127828202397E-2</v>
      </c>
      <c r="I36" s="35">
        <v>7.3434582866001727E-2</v>
      </c>
      <c r="J36" s="35">
        <v>4.8439242767672041E-3</v>
      </c>
      <c r="K36" s="35">
        <v>0.14381387902651271</v>
      </c>
    </row>
    <row r="37" spans="1:11" x14ac:dyDescent="0.2">
      <c r="A37" s="33">
        <v>42783</v>
      </c>
      <c r="B37" s="35">
        <v>9.4825760729465899E-2</v>
      </c>
      <c r="C37" s="35">
        <v>0.23771736954125927</v>
      </c>
      <c r="D37" s="35">
        <v>0.35919211699063774</v>
      </c>
      <c r="E37" s="35">
        <v>0.2206978058942162</v>
      </c>
      <c r="F37" s="35">
        <v>0.26293385435088579</v>
      </c>
      <c r="G37" s="35">
        <v>0.19633101931305433</v>
      </c>
      <c r="H37" s="35">
        <v>0.22483687710391681</v>
      </c>
      <c r="I37" s="35">
        <v>3.98313847058323E-2</v>
      </c>
      <c r="J37" s="35">
        <v>0.10413623595641514</v>
      </c>
      <c r="K37" s="35">
        <v>0.1303677902860246</v>
      </c>
    </row>
    <row r="38" spans="1:11" x14ac:dyDescent="0.2">
      <c r="A38" s="33">
        <v>42786</v>
      </c>
      <c r="B38" s="35">
        <v>0.3705999110290501</v>
      </c>
      <c r="C38" s="35">
        <v>0.28143126844459176</v>
      </c>
      <c r="D38" s="35">
        <v>0.46491816059804059</v>
      </c>
      <c r="E38" s="35">
        <v>0.32106102039953438</v>
      </c>
      <c r="F38" s="35">
        <v>0.35794542776898874</v>
      </c>
      <c r="G38" s="35">
        <v>0.21346172317064924</v>
      </c>
      <c r="H38" s="35">
        <v>0.18488452220671706</v>
      </c>
      <c r="I38" s="35">
        <v>0.14313475797991657</v>
      </c>
      <c r="J38" s="35">
        <v>8.6671862506875044E-2</v>
      </c>
      <c r="K38" s="35">
        <v>0.21365635482894449</v>
      </c>
    </row>
    <row r="39" spans="1:11" x14ac:dyDescent="0.2">
      <c r="A39" s="33">
        <v>42787</v>
      </c>
      <c r="B39" s="35">
        <v>0.11823946779662911</v>
      </c>
      <c r="C39" s="35">
        <v>0.15344940490522871</v>
      </c>
      <c r="D39" s="35">
        <v>0.13791931136162563</v>
      </c>
      <c r="E39" s="35">
        <v>9.9996346644603246E-2</v>
      </c>
      <c r="F39" s="35">
        <v>0.14011342804158772</v>
      </c>
      <c r="G39" s="35">
        <v>0.15304369767541545</v>
      </c>
      <c r="H39" s="35">
        <v>0.13502943011448662</v>
      </c>
      <c r="I39" s="35">
        <v>5.4984963791001165E-2</v>
      </c>
      <c r="J39" s="35">
        <v>0.1037881681419829</v>
      </c>
      <c r="K39" s="35">
        <v>0.1491293653437015</v>
      </c>
    </row>
    <row r="40" spans="1:11" x14ac:dyDescent="0.2">
      <c r="A40" s="33">
        <v>42788</v>
      </c>
      <c r="B40" s="35">
        <v>9.5869789917548548E-2</v>
      </c>
      <c r="C40" s="35">
        <v>0.19323486440987467</v>
      </c>
      <c r="D40" s="35">
        <v>0.10122360267592162</v>
      </c>
      <c r="E40" s="35">
        <v>7.489679140413083E-2</v>
      </c>
      <c r="F40" s="35">
        <v>0.12155980674172717</v>
      </c>
      <c r="G40" s="35">
        <v>0.12816346246344806</v>
      </c>
      <c r="H40" s="35">
        <v>0.1865966569564875</v>
      </c>
      <c r="I40" s="35">
        <v>0.14274837575172158</v>
      </c>
      <c r="J40" s="35">
        <v>8.7089639267166091E-2</v>
      </c>
      <c r="K40" s="35">
        <v>0.23263037765698177</v>
      </c>
    </row>
    <row r="41" spans="1:11" x14ac:dyDescent="0.2">
      <c r="A41" s="33">
        <v>42789</v>
      </c>
      <c r="B41" s="35">
        <v>-8.3976174497517361E-2</v>
      </c>
      <c r="C41" s="35">
        <v>-9.1360254740201721E-2</v>
      </c>
      <c r="D41" s="35">
        <v>-0.20724047145759497</v>
      </c>
      <c r="E41" s="35">
        <v>-0.10869524004156893</v>
      </c>
      <c r="F41" s="35">
        <v>-5.7839085948983689E-2</v>
      </c>
      <c r="G41" s="35">
        <v>4.9400376147562521E-2</v>
      </c>
      <c r="H41" s="35">
        <v>-0.16134113187387306</v>
      </c>
      <c r="I41" s="35">
        <v>4.1746109811607549E-2</v>
      </c>
      <c r="J41" s="35">
        <v>-1.1841703783818458E-2</v>
      </c>
      <c r="K41" s="35">
        <v>0.12345167684655532</v>
      </c>
    </row>
    <row r="42" spans="1:11" x14ac:dyDescent="0.2">
      <c r="A42" s="33">
        <v>42790</v>
      </c>
      <c r="B42" s="35">
        <v>5.2006276368458733E-2</v>
      </c>
      <c r="C42" s="35">
        <v>4.1404779593651096E-2</v>
      </c>
      <c r="D42" s="35">
        <v>0.26008225707055599</v>
      </c>
      <c r="E42" s="35">
        <v>0.10859022996685785</v>
      </c>
      <c r="F42" s="35">
        <v>0.14320754125276294</v>
      </c>
      <c r="G42" s="35">
        <v>0.15126404857315925</v>
      </c>
      <c r="H42" s="35">
        <v>0.1402149785233659</v>
      </c>
      <c r="I42" s="35">
        <v>6.9016134513858685E-2</v>
      </c>
      <c r="J42" s="35">
        <v>4.774557264290951E-2</v>
      </c>
      <c r="K42" s="35">
        <v>0.14882209744283581</v>
      </c>
    </row>
    <row r="43" spans="1:11" x14ac:dyDescent="0.2">
      <c r="A43" s="33">
        <v>42793</v>
      </c>
      <c r="B43" s="35">
        <v>3.2465126175391108E-2</v>
      </c>
      <c r="C43" s="35">
        <v>3.895635606075655E-2</v>
      </c>
      <c r="D43" s="35">
        <v>0.17983241991114168</v>
      </c>
      <c r="E43" s="35">
        <v>7.4123793352642672E-2</v>
      </c>
      <c r="F43" s="35">
        <v>0.11325795436083771</v>
      </c>
      <c r="G43" s="35">
        <v>0.13910445079906694</v>
      </c>
      <c r="H43" s="35">
        <v>9.2956931708171778E-2</v>
      </c>
      <c r="I43" s="35">
        <v>5.881365007376016E-3</v>
      </c>
      <c r="J43" s="35">
        <v>1.3947730152149994E-2</v>
      </c>
      <c r="K43" s="35">
        <v>9.2400702449542224E-2</v>
      </c>
    </row>
    <row r="44" spans="1:11" x14ac:dyDescent="0.2">
      <c r="A44" s="33">
        <v>42794</v>
      </c>
      <c r="B44" s="35">
        <v>0.26702210422157341</v>
      </c>
      <c r="C44" s="35">
        <v>0.24731605524140937</v>
      </c>
      <c r="D44" s="35">
        <v>0.11523684044121624</v>
      </c>
      <c r="E44" s="35">
        <v>0.18063209069870881</v>
      </c>
      <c r="F44" s="35">
        <v>0.22285674210123191</v>
      </c>
      <c r="G44" s="35">
        <v>0.13295228213882765</v>
      </c>
      <c r="H44" s="35">
        <v>0.22179044732487194</v>
      </c>
      <c r="I44" s="35">
        <v>0.11313611430885083</v>
      </c>
      <c r="J44" s="35">
        <v>5.3794969128298682E-2</v>
      </c>
      <c r="K44" s="35">
        <v>0.18904908599711012</v>
      </c>
    </row>
    <row r="45" spans="1:11" x14ac:dyDescent="0.2">
      <c r="A45" s="33">
        <v>42795</v>
      </c>
      <c r="B45" s="35">
        <v>0.2409564808180287</v>
      </c>
      <c r="C45" s="35">
        <v>0.18491250819605864</v>
      </c>
      <c r="D45" s="35">
        <v>0.25923505373373434</v>
      </c>
      <c r="E45" s="35">
        <v>0.15041778586429597</v>
      </c>
      <c r="F45" s="35">
        <v>0.18425313218104186</v>
      </c>
      <c r="G45" s="35">
        <v>0.14435495362672052</v>
      </c>
      <c r="H45" s="35">
        <v>0.31333005419905335</v>
      </c>
      <c r="I45" s="35">
        <v>5.4569759238022146E-2</v>
      </c>
      <c r="J45" s="35">
        <v>0.10803800681635978</v>
      </c>
      <c r="K45" s="35">
        <v>0.15292071544171551</v>
      </c>
    </row>
    <row r="46" spans="1:11" x14ac:dyDescent="0.2">
      <c r="A46" s="33">
        <v>42796</v>
      </c>
      <c r="B46" s="35">
        <v>0.27264583308614787</v>
      </c>
      <c r="C46" s="35">
        <v>0.14192466470679618</v>
      </c>
      <c r="D46" s="35">
        <v>0.34945465029250228</v>
      </c>
      <c r="E46" s="35">
        <v>0.19745460748211199</v>
      </c>
      <c r="F46" s="35">
        <v>0.23991169594450151</v>
      </c>
      <c r="G46" s="35">
        <v>0.1741475703874685</v>
      </c>
      <c r="H46" s="35">
        <v>0.17112272229972827</v>
      </c>
      <c r="I46" s="35">
        <v>0.16576795177159892</v>
      </c>
      <c r="J46" s="35">
        <v>7.1423722890907038E-2</v>
      </c>
      <c r="K46" s="35">
        <v>0.2325029215116044</v>
      </c>
    </row>
    <row r="47" spans="1:11" x14ac:dyDescent="0.2">
      <c r="A47" s="33">
        <v>42797</v>
      </c>
      <c r="B47" s="35">
        <v>0.14235409164684759</v>
      </c>
      <c r="C47" s="35">
        <v>0.12739180117098164</v>
      </c>
      <c r="D47" s="35">
        <v>0.13741642296973605</v>
      </c>
      <c r="E47" s="35">
        <v>7.7118889814058011E-2</v>
      </c>
      <c r="F47" s="35">
        <v>0.1208639772825314</v>
      </c>
      <c r="G47" s="35">
        <v>0.1056453704739559</v>
      </c>
      <c r="H47" s="35">
        <v>0.14655608554689067</v>
      </c>
      <c r="I47" s="35">
        <v>9.0475940226616036E-2</v>
      </c>
      <c r="J47" s="35">
        <v>7.2425056039576538E-2</v>
      </c>
      <c r="K47" s="35">
        <v>0.18120244877428229</v>
      </c>
    </row>
    <row r="48" spans="1:11" x14ac:dyDescent="0.2">
      <c r="A48" s="33">
        <v>42800</v>
      </c>
      <c r="B48" s="35">
        <v>0.18887437020441938</v>
      </c>
      <c r="C48" s="35">
        <v>0.28272797392841048</v>
      </c>
      <c r="D48" s="35">
        <v>0.18589954100191655</v>
      </c>
      <c r="E48" s="35">
        <v>0.18104341110689326</v>
      </c>
      <c r="F48" s="35">
        <v>0.23535137067992934</v>
      </c>
      <c r="G48" s="35">
        <v>0.11937986782838655</v>
      </c>
      <c r="H48" s="35">
        <v>0.17852375721385888</v>
      </c>
      <c r="I48" s="35">
        <v>0.17517804672694873</v>
      </c>
      <c r="J48" s="35">
        <v>0.13364200502887499</v>
      </c>
      <c r="K48" s="35">
        <v>0.24696607564479767</v>
      </c>
    </row>
    <row r="49" spans="1:11" x14ac:dyDescent="0.2">
      <c r="A49" s="33">
        <v>42801</v>
      </c>
      <c r="B49" s="35">
        <v>-8.4822754112279422E-2</v>
      </c>
      <c r="C49" s="35">
        <v>-0.10490073408688659</v>
      </c>
      <c r="D49" s="35">
        <v>-3.7069217957242211E-2</v>
      </c>
      <c r="E49" s="35">
        <v>-9.2276179118690502E-2</v>
      </c>
      <c r="F49" s="35">
        <v>-4.330673620285147E-2</v>
      </c>
      <c r="G49" s="35">
        <v>0.10316196697224729</v>
      </c>
      <c r="H49" s="35">
        <v>-8.054445419300553E-2</v>
      </c>
      <c r="I49" s="35">
        <v>2.5095723601837865E-2</v>
      </c>
      <c r="J49" s="35">
        <v>2.5390723871306718E-2</v>
      </c>
      <c r="K49" s="35">
        <v>0.10843330888849335</v>
      </c>
    </row>
    <row r="50" spans="1:11" x14ac:dyDescent="0.2">
      <c r="A50" s="33">
        <v>42802</v>
      </c>
      <c r="B50" s="35">
        <v>0.21447372108470178</v>
      </c>
      <c r="C50" s="35">
        <v>0.16235015634177538</v>
      </c>
      <c r="D50" s="35">
        <v>0.33736743114509854</v>
      </c>
      <c r="E50" s="35">
        <v>0.18701210798731016</v>
      </c>
      <c r="F50" s="35">
        <v>0.22624024842705989</v>
      </c>
      <c r="G50" s="35">
        <v>0.15640723821457547</v>
      </c>
      <c r="H50" s="35">
        <v>0.12559116416689539</v>
      </c>
      <c r="I50" s="35">
        <v>9.7220317905898815E-2</v>
      </c>
      <c r="J50" s="35">
        <v>9.3798859039884858E-2</v>
      </c>
      <c r="K50" s="35">
        <v>0.1735630144628561</v>
      </c>
    </row>
    <row r="51" spans="1:11" x14ac:dyDescent="0.2">
      <c r="A51" s="33">
        <v>42803</v>
      </c>
      <c r="B51" s="35">
        <v>0.11101243620111313</v>
      </c>
      <c r="C51" s="35">
        <v>-7.9801053557521345E-2</v>
      </c>
      <c r="D51" s="35">
        <v>-0.12356807674801407</v>
      </c>
      <c r="E51" s="35">
        <v>-6.8756724219779838E-2</v>
      </c>
      <c r="F51" s="35">
        <v>-3.1538014953037138E-2</v>
      </c>
      <c r="G51" s="35">
        <v>9.2517494846912129E-2</v>
      </c>
      <c r="H51" s="35">
        <v>-6.1000420330153696E-2</v>
      </c>
      <c r="I51" s="35">
        <v>4.1598470985708673E-2</v>
      </c>
      <c r="J51" s="35">
        <v>5.6483754731469535E-2</v>
      </c>
      <c r="K51" s="35">
        <v>0.14324359175052645</v>
      </c>
    </row>
    <row r="52" spans="1:11" x14ac:dyDescent="0.2">
      <c r="A52" s="33">
        <v>42804</v>
      </c>
      <c r="B52" s="35">
        <v>6.5055459658461143E-2</v>
      </c>
      <c r="C52" s="35">
        <v>-0.14662050352855091</v>
      </c>
      <c r="D52" s="35">
        <v>-0.1745420214841425</v>
      </c>
      <c r="E52" s="35">
        <v>-0.12001891816701549</v>
      </c>
      <c r="F52" s="35">
        <v>-8.1764431678834987E-2</v>
      </c>
      <c r="G52" s="35">
        <v>6.1778518512409342E-2</v>
      </c>
      <c r="H52" s="35">
        <v>-0.11539137266412967</v>
      </c>
      <c r="I52" s="35">
        <v>-2.3375875683359783E-2</v>
      </c>
      <c r="J52" s="35">
        <v>-1.4922862463494556E-2</v>
      </c>
      <c r="K52" s="35">
        <v>7.2237478142561026E-2</v>
      </c>
    </row>
    <row r="53" spans="1:11" x14ac:dyDescent="0.2">
      <c r="A53" s="33">
        <v>42807</v>
      </c>
      <c r="B53" s="35">
        <v>0.11897204176439322</v>
      </c>
      <c r="C53" s="35">
        <v>4.7784852654299943E-2</v>
      </c>
      <c r="D53" s="35">
        <v>9.5242866976443616E-2</v>
      </c>
      <c r="E53" s="35">
        <v>9.4426802855727687E-2</v>
      </c>
      <c r="F53" s="35">
        <v>0.13632483579441315</v>
      </c>
      <c r="G53" s="35">
        <v>0.12799015217808066</v>
      </c>
      <c r="H53" s="35">
        <v>-6.6321072733458719E-2</v>
      </c>
      <c r="I53" s="35">
        <v>5.4218486571909905E-2</v>
      </c>
      <c r="J53" s="35">
        <v>6.4031128752598199E-2</v>
      </c>
      <c r="K53" s="35">
        <v>0.13300776341177675</v>
      </c>
    </row>
    <row r="54" spans="1:11" x14ac:dyDescent="0.2">
      <c r="A54" s="33">
        <v>42808</v>
      </c>
      <c r="B54" s="35">
        <v>0.32527492816286097</v>
      </c>
      <c r="C54" s="35">
        <v>0.21948999469768124</v>
      </c>
      <c r="D54" s="35">
        <v>0.5430721510098927</v>
      </c>
      <c r="E54" s="35">
        <v>0.32125798679414436</v>
      </c>
      <c r="F54" s="35">
        <v>0.35829485508715364</v>
      </c>
      <c r="G54" s="35">
        <v>0.2121599730330142</v>
      </c>
      <c r="H54" s="35">
        <v>0.11839403975517319</v>
      </c>
      <c r="I54" s="35">
        <v>4.6971000263982293E-2</v>
      </c>
      <c r="J54" s="35">
        <v>5.8249882190280211E-2</v>
      </c>
      <c r="K54" s="35">
        <v>0.13333541681401831</v>
      </c>
    </row>
    <row r="55" spans="1:11" x14ac:dyDescent="0.2">
      <c r="A55" s="33">
        <v>42809</v>
      </c>
      <c r="B55" s="35">
        <v>3.4894488193958816E-2</v>
      </c>
      <c r="C55" s="35">
        <v>0.11833844824299863</v>
      </c>
      <c r="D55" s="35">
        <v>0.23071535728344533</v>
      </c>
      <c r="E55" s="35">
        <v>9.91637043841124E-2</v>
      </c>
      <c r="F55" s="35">
        <v>0.14229966031329053</v>
      </c>
      <c r="G55" s="35">
        <v>0.13378738840907181</v>
      </c>
      <c r="H55" s="35">
        <v>9.2859087399665308E-2</v>
      </c>
      <c r="I55" s="35">
        <v>0.15643000442861127</v>
      </c>
      <c r="J55" s="35">
        <v>0.10332252917934037</v>
      </c>
      <c r="K55" s="35">
        <v>0.22924421178748236</v>
      </c>
    </row>
    <row r="56" spans="1:11" x14ac:dyDescent="0.2">
      <c r="A56" s="33">
        <v>42810</v>
      </c>
      <c r="B56" s="35">
        <v>0.18758451038694096</v>
      </c>
      <c r="C56" s="35">
        <v>-4.4204744253444603E-2</v>
      </c>
      <c r="D56" s="35">
        <v>-1.7097347284859971E-2</v>
      </c>
      <c r="E56" s="35">
        <v>-5.3585545690504124E-2</v>
      </c>
      <c r="F56" s="35">
        <v>-1.0963943286706707E-2</v>
      </c>
      <c r="G56" s="35">
        <v>6.9632272135188106E-2</v>
      </c>
      <c r="H56" s="35">
        <v>-0.142593448320945</v>
      </c>
      <c r="I56" s="35">
        <v>-2.6214273442663305E-2</v>
      </c>
      <c r="J56" s="35">
        <v>2.4636439843409755E-2</v>
      </c>
      <c r="K56" s="35">
        <v>7.6453494246856643E-2</v>
      </c>
    </row>
    <row r="57" spans="1:11" x14ac:dyDescent="0.2">
      <c r="A57" s="33">
        <v>42811</v>
      </c>
      <c r="B57" s="35">
        <v>0.1276063916941568</v>
      </c>
      <c r="C57" s="35">
        <v>0.11390532026200678</v>
      </c>
      <c r="D57" s="35">
        <v>0.3466746132476905</v>
      </c>
      <c r="E57" s="35">
        <v>0.19707136128767364</v>
      </c>
      <c r="F57" s="35">
        <v>0.23570328089138617</v>
      </c>
      <c r="G57" s="35">
        <v>0.20331502896498332</v>
      </c>
      <c r="H57" s="35">
        <v>-4.6393526073965297E-4</v>
      </c>
      <c r="I57" s="35">
        <v>-3.9823679152462231E-2</v>
      </c>
      <c r="J57" s="35">
        <v>8.5093695742032016E-2</v>
      </c>
      <c r="K57" s="35">
        <v>5.4867417218205268E-2</v>
      </c>
    </row>
    <row r="58" spans="1:11" x14ac:dyDescent="0.2">
      <c r="A58" s="33">
        <v>42814</v>
      </c>
      <c r="B58" s="35">
        <v>7.4071277727344495E-2</v>
      </c>
      <c r="C58" s="35">
        <v>0.17440401604071645</v>
      </c>
      <c r="D58" s="35">
        <v>0.23458516519894215</v>
      </c>
      <c r="E58" s="35">
        <v>0.17843565912180565</v>
      </c>
      <c r="F58" s="35">
        <v>0.22770974827716933</v>
      </c>
      <c r="G58" s="35">
        <v>0.15502007613385085</v>
      </c>
      <c r="H58" s="35">
        <v>3.5594910662317847E-2</v>
      </c>
      <c r="I58" s="35">
        <v>6.494807953855701E-2</v>
      </c>
      <c r="J58" s="35">
        <v>5.4725690932966323E-2</v>
      </c>
      <c r="K58" s="35">
        <v>0.14946505498018139</v>
      </c>
    </row>
    <row r="59" spans="1:11" x14ac:dyDescent="0.2">
      <c r="A59" s="33">
        <v>42815</v>
      </c>
      <c r="B59" s="35">
        <v>0.16610365675623193</v>
      </c>
      <c r="C59" s="35">
        <v>0.2703235241493544</v>
      </c>
      <c r="D59" s="35">
        <v>0.38785302551921369</v>
      </c>
      <c r="E59" s="35">
        <v>0.28293423353880603</v>
      </c>
      <c r="F59" s="35">
        <v>0.31730129731006429</v>
      </c>
      <c r="G59" s="35">
        <v>0.21120861073564251</v>
      </c>
      <c r="H59" s="35">
        <v>0.14836018423659564</v>
      </c>
      <c r="I59" s="35">
        <v>0.15051666986560286</v>
      </c>
      <c r="J59" s="35">
        <v>0.17584505135001693</v>
      </c>
      <c r="K59" s="35">
        <v>0.23621688702637056</v>
      </c>
    </row>
    <row r="60" spans="1:11" x14ac:dyDescent="0.2">
      <c r="A60" s="33">
        <v>42816</v>
      </c>
      <c r="B60" s="35">
        <v>0.12576803465252187</v>
      </c>
      <c r="C60" s="35">
        <v>0.13242560634840286</v>
      </c>
      <c r="D60" s="35">
        <v>0.14668933133520684</v>
      </c>
      <c r="E60" s="35">
        <v>8.2999123985928139E-2</v>
      </c>
      <c r="F60" s="35">
        <v>0.1306717998725257</v>
      </c>
      <c r="G60" s="35">
        <v>0.1065893864543519</v>
      </c>
      <c r="H60" s="35">
        <v>0.11529415667647225</v>
      </c>
      <c r="I60" s="35">
        <v>0.13572326808192856</v>
      </c>
      <c r="J60" s="35">
        <v>7.8931178229054752E-2</v>
      </c>
      <c r="K60" s="35">
        <v>0.21382555836889078</v>
      </c>
    </row>
    <row r="61" spans="1:11" x14ac:dyDescent="0.2">
      <c r="A61" s="33">
        <v>42817</v>
      </c>
      <c r="B61" s="35">
        <v>7.2524137665214441E-2</v>
      </c>
      <c r="C61" s="35">
        <v>-2.7236527874591129E-2</v>
      </c>
      <c r="D61" s="35">
        <v>0.16365605594470264</v>
      </c>
      <c r="E61" s="35">
        <v>5.4179070976077166E-2</v>
      </c>
      <c r="F61" s="35">
        <v>9.1252258599797395E-2</v>
      </c>
      <c r="G61" s="35">
        <v>0.16692645490272753</v>
      </c>
      <c r="H61" s="35">
        <v>1.2617133009208418E-2</v>
      </c>
      <c r="I61" s="35">
        <v>7.4462548675005387E-3</v>
      </c>
      <c r="J61" s="35">
        <v>7.2128260977772654E-2</v>
      </c>
      <c r="K61" s="35">
        <v>0.10400233407165473</v>
      </c>
    </row>
    <row r="62" spans="1:11" x14ac:dyDescent="0.2">
      <c r="A62" s="33">
        <v>42818</v>
      </c>
      <c r="B62" s="35">
        <v>0.15463206245054995</v>
      </c>
      <c r="C62" s="35">
        <v>8.1116837890693141E-2</v>
      </c>
      <c r="D62" s="35">
        <v>0.26940326059644287</v>
      </c>
      <c r="E62" s="35">
        <v>0.17387509885759533</v>
      </c>
      <c r="F62" s="35">
        <v>0.21190224592226431</v>
      </c>
      <c r="G62" s="35">
        <v>0.16301137679430852</v>
      </c>
      <c r="H62" s="35">
        <v>-0.19515941044984358</v>
      </c>
      <c r="I62" s="35">
        <v>-7.7048172180577801E-2</v>
      </c>
      <c r="J62" s="35">
        <v>4.4371160778850581E-2</v>
      </c>
      <c r="K62" s="35">
        <v>3.0603404852521367E-2</v>
      </c>
    </row>
    <row r="63" spans="1:11" x14ac:dyDescent="0.2">
      <c r="A63" s="33">
        <v>42821</v>
      </c>
      <c r="B63" s="35">
        <v>0.14158816874988062</v>
      </c>
      <c r="C63" s="35">
        <v>2.7756733239346333E-2</v>
      </c>
      <c r="D63" s="35">
        <v>0.10184201498702125</v>
      </c>
      <c r="E63" s="35">
        <v>2.352143277180815E-2</v>
      </c>
      <c r="F63" s="35">
        <v>6.3129527212879247E-2</v>
      </c>
      <c r="G63" s="35">
        <v>0.12864251303148572</v>
      </c>
      <c r="H63" s="35">
        <v>1.7648595581695441E-2</v>
      </c>
      <c r="I63" s="35">
        <v>1.8245840388432764E-2</v>
      </c>
      <c r="J63" s="35">
        <v>2.2146638714149441E-2</v>
      </c>
      <c r="K63" s="35">
        <v>0.11620014889705949</v>
      </c>
    </row>
    <row r="64" spans="1:11" x14ac:dyDescent="0.2">
      <c r="A64" s="33">
        <v>42822</v>
      </c>
      <c r="B64" s="35">
        <v>0.12050296643348049</v>
      </c>
      <c r="C64" s="35">
        <v>-5.5950902620729846E-2</v>
      </c>
      <c r="D64" s="35">
        <v>0.13486344738818037</v>
      </c>
      <c r="E64" s="35">
        <v>2.7946437147927088E-3</v>
      </c>
      <c r="F64" s="35">
        <v>4.6668406530736638E-2</v>
      </c>
      <c r="G64" s="35">
        <v>0.1123550488795491</v>
      </c>
      <c r="H64" s="35">
        <v>-0.1314598213855914</v>
      </c>
      <c r="I64" s="35">
        <v>-7.3227465146252779E-2</v>
      </c>
      <c r="J64" s="35">
        <v>-1.0200925202849882E-2</v>
      </c>
      <c r="K64" s="35">
        <v>4.5581200549981611E-3</v>
      </c>
    </row>
    <row r="65" spans="1:11" x14ac:dyDescent="0.2">
      <c r="A65" s="33">
        <v>42823</v>
      </c>
      <c r="B65" s="35">
        <v>5.8671979506898266E-2</v>
      </c>
      <c r="C65" s="35">
        <v>0.17511933682164596</v>
      </c>
      <c r="D65" s="35">
        <v>8.6989942679880361E-2</v>
      </c>
      <c r="E65" s="35">
        <v>4.7370049827712153E-2</v>
      </c>
      <c r="F65" s="35">
        <v>9.2415900427199271E-2</v>
      </c>
      <c r="G65" s="35">
        <v>0.13087657162251334</v>
      </c>
      <c r="H65" s="35">
        <v>0.19611296005555456</v>
      </c>
      <c r="I65" s="35">
        <v>0.10744738828985385</v>
      </c>
      <c r="J65" s="35">
        <v>0.11465708727317814</v>
      </c>
      <c r="K65" s="35">
        <v>0.19462730398430578</v>
      </c>
    </row>
    <row r="66" spans="1:11" x14ac:dyDescent="0.2">
      <c r="A66" s="33">
        <v>42824</v>
      </c>
      <c r="B66" s="35">
        <v>0.17010006325361227</v>
      </c>
      <c r="C66" s="35">
        <v>0.12209726685989483</v>
      </c>
      <c r="D66" s="35">
        <v>0.23265971113986803</v>
      </c>
      <c r="E66" s="35">
        <v>0.16779773834760414</v>
      </c>
      <c r="F66" s="35">
        <v>0.20354605422537037</v>
      </c>
      <c r="G66" s="35">
        <v>0.16046318967345669</v>
      </c>
      <c r="H66" s="35">
        <v>1.109735268775483E-2</v>
      </c>
      <c r="I66" s="35">
        <v>2.2179371868818343E-2</v>
      </c>
      <c r="J66" s="35">
        <v>6.8238816449550613E-2</v>
      </c>
      <c r="K66" s="35">
        <v>0.1156984348520806</v>
      </c>
    </row>
    <row r="67" spans="1:11" x14ac:dyDescent="0.2">
      <c r="A67" s="33">
        <v>42825</v>
      </c>
      <c r="B67" s="35">
        <v>0.14580904101291026</v>
      </c>
      <c r="C67" s="35">
        <v>0.16109115798790299</v>
      </c>
      <c r="D67" s="35">
        <v>0.24412781852953519</v>
      </c>
      <c r="E67" s="35">
        <v>0.11037252903518784</v>
      </c>
      <c r="F67" s="35">
        <v>0.15841323637612922</v>
      </c>
      <c r="G67" s="35">
        <v>0.16540279135330904</v>
      </c>
      <c r="H67" s="35">
        <v>3.3656095014308059E-2</v>
      </c>
      <c r="I67" s="35">
        <v>7.4568661920718843E-2</v>
      </c>
      <c r="J67" s="35">
        <v>5.609042940750783E-2</v>
      </c>
      <c r="K67" s="35">
        <v>0.16793960868208824</v>
      </c>
    </row>
    <row r="68" spans="1:11" x14ac:dyDescent="0.2">
      <c r="A68" s="33">
        <v>42828</v>
      </c>
      <c r="B68" s="35">
        <v>0.11629763477967325</v>
      </c>
      <c r="C68" s="35">
        <v>0.18437493454589374</v>
      </c>
      <c r="D68" s="35">
        <v>0.3813196153020601</v>
      </c>
      <c r="E68" s="35">
        <v>0.2081434616302649</v>
      </c>
      <c r="F68" s="35">
        <v>0.24450720200045548</v>
      </c>
      <c r="G68" s="35">
        <v>0.2177681482257838</v>
      </c>
      <c r="H68" s="35">
        <v>0.12045695930096158</v>
      </c>
      <c r="I68" s="35">
        <v>9.7251606419950815E-2</v>
      </c>
      <c r="J68" s="35">
        <v>0.14648097041587854</v>
      </c>
      <c r="K68" s="35">
        <v>0.19855724788175882</v>
      </c>
    </row>
    <row r="69" spans="1:11" x14ac:dyDescent="0.2">
      <c r="A69" s="33">
        <v>42829</v>
      </c>
      <c r="B69" s="35">
        <v>9.342944774882829E-2</v>
      </c>
      <c r="C69" s="35">
        <v>0.19903201302514412</v>
      </c>
      <c r="D69" s="35">
        <v>0.25768653424028909</v>
      </c>
      <c r="E69" s="35">
        <v>0.11809189197673453</v>
      </c>
      <c r="F69" s="35">
        <v>0.16117565259256339</v>
      </c>
      <c r="G69" s="35">
        <v>0.15947831141290747</v>
      </c>
      <c r="H69" s="35">
        <v>0.16751576039061519</v>
      </c>
      <c r="I69" s="35">
        <v>0.14304850490788307</v>
      </c>
      <c r="J69" s="35">
        <v>9.899536966111612E-2</v>
      </c>
      <c r="K69" s="35">
        <v>0.22374874415533588</v>
      </c>
    </row>
    <row r="70" spans="1:11" x14ac:dyDescent="0.2">
      <c r="A70" s="33">
        <v>42830</v>
      </c>
      <c r="B70" s="35">
        <v>6.723472809552121E-2</v>
      </c>
      <c r="C70" s="35">
        <v>-0.13257372973512771</v>
      </c>
      <c r="D70" s="35">
        <v>1.0495283608738864E-2</v>
      </c>
      <c r="E70" s="35">
        <v>-3.394294688932871E-2</v>
      </c>
      <c r="F70" s="35">
        <v>9.465457839482393E-5</v>
      </c>
      <c r="G70" s="35">
        <v>0.1127294810417661</v>
      </c>
      <c r="H70" s="35">
        <v>-0.13618326053855798</v>
      </c>
      <c r="I70" s="35">
        <v>-0.15604979282854997</v>
      </c>
      <c r="J70" s="35">
        <v>2.2466623302744192E-2</v>
      </c>
      <c r="K70" s="35">
        <v>-4.3562858627740411E-2</v>
      </c>
    </row>
    <row r="71" spans="1:11" x14ac:dyDescent="0.2">
      <c r="A71" s="33">
        <v>42831</v>
      </c>
      <c r="B71" s="35">
        <v>2.1916523052822108E-2</v>
      </c>
      <c r="C71" s="35">
        <v>1.1050521050022307E-3</v>
      </c>
      <c r="D71" s="35">
        <v>2.7004142867770607E-2</v>
      </c>
      <c r="E71" s="35">
        <v>-3.6395891962908954E-2</v>
      </c>
      <c r="F71" s="35">
        <v>1.2475954336472963E-2</v>
      </c>
      <c r="G71" s="35">
        <v>9.9322736902555664E-2</v>
      </c>
      <c r="H71" s="35">
        <v>-2.0811385780919432E-2</v>
      </c>
      <c r="I71" s="35">
        <v>6.1092855334342576E-2</v>
      </c>
      <c r="J71" s="35">
        <v>4.1382811273364288E-2</v>
      </c>
      <c r="K71" s="35">
        <v>0.14389245025311462</v>
      </c>
    </row>
    <row r="72" spans="1:11" x14ac:dyDescent="0.2">
      <c r="A72" s="33">
        <v>42832</v>
      </c>
      <c r="B72" s="35">
        <v>0.16909757227111474</v>
      </c>
      <c r="C72" s="35">
        <v>5.8021414650371528E-2</v>
      </c>
      <c r="D72" s="35">
        <v>2.1700949892225947E-2</v>
      </c>
      <c r="E72" s="35">
        <v>3.69277064114506E-2</v>
      </c>
      <c r="F72" s="35">
        <v>7.2435289000633049E-2</v>
      </c>
      <c r="G72" s="35">
        <v>0.11503081786678349</v>
      </c>
      <c r="H72" s="35">
        <v>3.4764910784256461E-2</v>
      </c>
      <c r="I72" s="35">
        <v>8.7889142548241581E-2</v>
      </c>
      <c r="J72" s="35">
        <v>7.1835928731754692E-2</v>
      </c>
      <c r="K72" s="35">
        <v>0.18085435888053975</v>
      </c>
    </row>
    <row r="73" spans="1:11" x14ac:dyDescent="0.2">
      <c r="A73" s="33">
        <v>42835</v>
      </c>
      <c r="B73" s="35">
        <v>0.34789023396030022</v>
      </c>
      <c r="C73" s="35">
        <v>0.12535785539218577</v>
      </c>
      <c r="D73" s="35">
        <v>0.27153605125353603</v>
      </c>
      <c r="E73" s="35">
        <v>0.23325388782040893</v>
      </c>
      <c r="F73" s="35">
        <v>0.25863586977808051</v>
      </c>
      <c r="G73" s="35">
        <v>0.16460970223741628</v>
      </c>
      <c r="H73" s="35">
        <v>8.6212609176194555E-2</v>
      </c>
      <c r="I73" s="35">
        <v>0.13315708425691292</v>
      </c>
      <c r="J73" s="35">
        <v>0.13403889667226621</v>
      </c>
      <c r="K73" s="35">
        <v>0.20731071280839805</v>
      </c>
    </row>
    <row r="74" spans="1:11" x14ac:dyDescent="0.2">
      <c r="A74" s="33">
        <v>42836</v>
      </c>
      <c r="B74" s="35">
        <v>3.4054855181466876E-3</v>
      </c>
      <c r="C74" s="35">
        <v>7.6638094916496174E-3</v>
      </c>
      <c r="D74" s="35">
        <v>0.38853724209163482</v>
      </c>
      <c r="E74" s="35">
        <v>8.896145705203902E-2</v>
      </c>
      <c r="F74" s="35">
        <v>0.1342301702741695</v>
      </c>
      <c r="G74" s="35">
        <v>0.16123704372845252</v>
      </c>
      <c r="H74" s="35">
        <v>5.2121142460735723E-2</v>
      </c>
      <c r="I74" s="35">
        <v>6.7164423904090102E-3</v>
      </c>
      <c r="J74" s="35">
        <v>5.0754097101485374E-2</v>
      </c>
      <c r="K74" s="35">
        <v>9.9272804027833769E-2</v>
      </c>
    </row>
    <row r="75" spans="1:11" x14ac:dyDescent="0.2">
      <c r="A75" s="33">
        <v>42837</v>
      </c>
      <c r="B75" s="35">
        <v>0.12541380643853545</v>
      </c>
      <c r="C75" s="35">
        <v>0.12806536498164051</v>
      </c>
      <c r="D75" s="35">
        <v>0.19562518744715296</v>
      </c>
      <c r="E75" s="35">
        <v>0.12577953601404293</v>
      </c>
      <c r="F75" s="35">
        <v>0.16401525521910462</v>
      </c>
      <c r="G75" s="35">
        <v>0.17301251888895769</v>
      </c>
      <c r="H75" s="35">
        <v>4.8199960178656909E-2</v>
      </c>
      <c r="I75" s="35">
        <v>0.11369472725196404</v>
      </c>
      <c r="J75" s="35">
        <v>4.5092403103892766E-2</v>
      </c>
      <c r="K75" s="35">
        <v>0.1989361926654459</v>
      </c>
    </row>
    <row r="76" spans="1:11" x14ac:dyDescent="0.2">
      <c r="A76" s="33">
        <v>42838</v>
      </c>
      <c r="B76" s="35">
        <v>-0.15745120678387473</v>
      </c>
      <c r="C76" s="35">
        <v>1.8054041867997656E-2</v>
      </c>
      <c r="D76" s="35">
        <v>0.24091984225032997</v>
      </c>
      <c r="E76" s="35">
        <v>4.2556156044718997E-2</v>
      </c>
      <c r="F76" s="35">
        <v>8.6359341518894558E-2</v>
      </c>
      <c r="G76" s="35">
        <v>0.13591209112690927</v>
      </c>
      <c r="H76" s="35">
        <v>-5.3512790429136634E-2</v>
      </c>
      <c r="I76" s="35">
        <v>1.0164637293991279E-3</v>
      </c>
      <c r="J76" s="35">
        <v>4.9234764364407289E-2</v>
      </c>
      <c r="K76" s="35">
        <v>9.4681792094742825E-2</v>
      </c>
    </row>
    <row r="77" spans="1:11" x14ac:dyDescent="0.2">
      <c r="A77" s="33">
        <v>42839</v>
      </c>
      <c r="B77" s="35">
        <v>0.13422626671164861</v>
      </c>
      <c r="C77" s="35">
        <v>-1.1637115855151025E-2</v>
      </c>
      <c r="D77" s="35">
        <v>7.1254508783862705E-2</v>
      </c>
      <c r="E77" s="35">
        <v>-7.973408065128449E-3</v>
      </c>
      <c r="F77" s="35">
        <v>2.8928255002324002E-2</v>
      </c>
      <c r="G77" s="35">
        <v>0.15432081851361731</v>
      </c>
      <c r="H77" s="35">
        <v>-7.1662353733045928E-2</v>
      </c>
      <c r="I77" s="35">
        <v>-2.2665602158604341E-2</v>
      </c>
      <c r="J77" s="35">
        <v>5.726109687367658E-2</v>
      </c>
      <c r="K77" s="35">
        <v>7.9438781132720904E-2</v>
      </c>
    </row>
    <row r="78" spans="1:11" x14ac:dyDescent="0.2">
      <c r="A78" s="33">
        <v>42842</v>
      </c>
      <c r="B78" s="35">
        <v>3.0345380605362952E-4</v>
      </c>
      <c r="C78" s="35">
        <v>2.6361230092710089E-2</v>
      </c>
      <c r="D78" s="35">
        <v>-0.20505962226923563</v>
      </c>
      <c r="E78" s="35">
        <v>-9.5305838276067742E-2</v>
      </c>
      <c r="F78" s="35">
        <v>-5.3544337828391804E-2</v>
      </c>
      <c r="G78" s="35">
        <v>7.450857039638388E-2</v>
      </c>
      <c r="H78" s="35">
        <v>-1.9190911643238783E-2</v>
      </c>
      <c r="I78" s="35">
        <v>0.12761110385430807</v>
      </c>
      <c r="J78" s="35">
        <v>5.3100478048458029E-2</v>
      </c>
      <c r="K78" s="35">
        <v>0.22005842957680657</v>
      </c>
    </row>
    <row r="79" spans="1:11" x14ac:dyDescent="0.2">
      <c r="A79" s="33">
        <v>42843</v>
      </c>
      <c r="B79" s="35">
        <v>4.4550476424714346E-2</v>
      </c>
      <c r="C79" s="35">
        <v>-5.3379853545712022E-2</v>
      </c>
      <c r="D79" s="35">
        <v>5.0122993683705479E-2</v>
      </c>
      <c r="E79" s="35">
        <v>4.3924460798520446E-3</v>
      </c>
      <c r="F79" s="35">
        <v>4.4175162782182656E-2</v>
      </c>
      <c r="G79" s="35">
        <v>0.15327512053548606</v>
      </c>
      <c r="H79" s="35">
        <v>-4.7752006149982221E-2</v>
      </c>
      <c r="I79" s="35">
        <v>-5.7913579042402553E-2</v>
      </c>
      <c r="J79" s="35">
        <v>-1.6324403672239567E-2</v>
      </c>
      <c r="K79" s="35">
        <v>3.729339009072305E-2</v>
      </c>
    </row>
    <row r="80" spans="1:11" x14ac:dyDescent="0.2">
      <c r="A80" s="33">
        <v>42844</v>
      </c>
      <c r="B80" s="35">
        <v>0.29668309282090838</v>
      </c>
      <c r="C80" s="35">
        <v>0.23372007474713746</v>
      </c>
      <c r="D80" s="35">
        <v>0.19205666130436366</v>
      </c>
      <c r="E80" s="35">
        <v>0.22715603178198682</v>
      </c>
      <c r="F80" s="35">
        <v>0.26375519404942571</v>
      </c>
      <c r="G80" s="35">
        <v>0.15444666782004113</v>
      </c>
      <c r="H80" s="35">
        <v>0.23326528856316175</v>
      </c>
      <c r="I80" s="35">
        <v>0.17739829355820122</v>
      </c>
      <c r="J80" s="35">
        <v>0.13536396601035972</v>
      </c>
      <c r="K80" s="35">
        <v>0.25592363392135142</v>
      </c>
    </row>
    <row r="81" spans="1:11" x14ac:dyDescent="0.2">
      <c r="A81" s="33">
        <v>42845</v>
      </c>
      <c r="B81" s="35">
        <v>1.5231364198585961E-2</v>
      </c>
      <c r="C81" s="35">
        <v>-9.8602137857619399E-2</v>
      </c>
      <c r="D81" s="35">
        <v>5.2431013812371904E-2</v>
      </c>
      <c r="E81" s="35">
        <v>-1.1109484712078432E-2</v>
      </c>
      <c r="F81" s="35">
        <v>2.5935934653561244E-2</v>
      </c>
      <c r="G81" s="35">
        <v>0.11288977110836733</v>
      </c>
      <c r="H81" s="35">
        <v>2.8552122785307183E-2</v>
      </c>
      <c r="I81" s="35">
        <v>6.0838255579559228E-2</v>
      </c>
      <c r="J81" s="35">
        <v>1.075796949436774E-2</v>
      </c>
      <c r="K81" s="35">
        <v>0.14150341671559102</v>
      </c>
    </row>
    <row r="82" spans="1:11" x14ac:dyDescent="0.2">
      <c r="A82" s="33">
        <v>42846</v>
      </c>
      <c r="B82" s="35">
        <v>0.20461228821238864</v>
      </c>
      <c r="C82" s="35">
        <v>0.14189771880049984</v>
      </c>
      <c r="D82" s="35">
        <v>7.5798759661782053E-2</v>
      </c>
      <c r="E82" s="35">
        <v>9.0521527371179064E-2</v>
      </c>
      <c r="F82" s="35">
        <v>0.12316942503325962</v>
      </c>
      <c r="G82" s="35">
        <v>0.10750915141012822</v>
      </c>
      <c r="H82" s="35">
        <v>0.17050946916787066</v>
      </c>
      <c r="I82" s="35">
        <v>0.11298391951429235</v>
      </c>
      <c r="J82" s="35">
        <v>9.0160075668961184E-2</v>
      </c>
      <c r="K82" s="35">
        <v>0.19977507985072099</v>
      </c>
    </row>
    <row r="83" spans="1:11" x14ac:dyDescent="0.2">
      <c r="A83" s="33">
        <v>42849</v>
      </c>
      <c r="B83" s="35">
        <v>0.22896874294211597</v>
      </c>
      <c r="C83" s="35">
        <v>0.23409909728844289</v>
      </c>
      <c r="D83" s="35">
        <v>0.11254853516737715</v>
      </c>
      <c r="E83" s="35">
        <v>0.15020470339942443</v>
      </c>
      <c r="F83" s="35">
        <v>0.19388539213866027</v>
      </c>
      <c r="G83" s="35">
        <v>0.11060649937029063</v>
      </c>
      <c r="H83" s="35">
        <v>0.19458122681947077</v>
      </c>
      <c r="I83" s="35">
        <v>0.11359583608501163</v>
      </c>
      <c r="J83" s="35">
        <v>0.10558252143392079</v>
      </c>
      <c r="K83" s="35">
        <v>0.20192373388318879</v>
      </c>
    </row>
    <row r="84" spans="1:11" x14ac:dyDescent="0.2">
      <c r="A84" s="33">
        <v>42850</v>
      </c>
      <c r="B84" s="35">
        <v>8.3847959932728117E-2</v>
      </c>
      <c r="C84" s="35">
        <v>2.5047057190673655E-2</v>
      </c>
      <c r="D84" s="35">
        <v>9.5367098750653162E-2</v>
      </c>
      <c r="E84" s="35">
        <v>5.750594905412558E-2</v>
      </c>
      <c r="F84" s="35">
        <v>9.1746368703201839E-2</v>
      </c>
      <c r="G84" s="35">
        <v>0.12831775107899615</v>
      </c>
      <c r="H84" s="35">
        <v>-6.0140428109441778E-2</v>
      </c>
      <c r="I84" s="35">
        <v>-3.0962795158708648E-2</v>
      </c>
      <c r="J84" s="35">
        <v>2.4298515422726773E-2</v>
      </c>
      <c r="K84" s="35">
        <v>7.1472600007552414E-2</v>
      </c>
    </row>
    <row r="85" spans="1:11" x14ac:dyDescent="0.2">
      <c r="A85" s="33">
        <v>42851</v>
      </c>
      <c r="B85" s="35">
        <v>-1.5729880370852749E-2</v>
      </c>
      <c r="C85" s="35">
        <v>-1.2766531753969799E-2</v>
      </c>
      <c r="D85" s="35">
        <v>5.4195029915874451E-2</v>
      </c>
      <c r="E85" s="35">
        <v>-4.9188519318088812E-2</v>
      </c>
      <c r="F85" s="35">
        <v>-8.5647423937120735E-3</v>
      </c>
      <c r="G85" s="35">
        <v>9.8070788763404859E-2</v>
      </c>
      <c r="H85" s="35">
        <v>0.20113027679518972</v>
      </c>
      <c r="I85" s="35">
        <v>9.9029357057803982E-2</v>
      </c>
      <c r="J85" s="35">
        <v>3.4187346191648094E-2</v>
      </c>
      <c r="K85" s="35">
        <v>0.16939797174386728</v>
      </c>
    </row>
    <row r="86" spans="1:11" x14ac:dyDescent="0.2">
      <c r="A86" s="33">
        <v>42852</v>
      </c>
      <c r="B86" s="35">
        <v>0.23002346053656525</v>
      </c>
      <c r="C86" s="35">
        <v>0.14870757291533876</v>
      </c>
      <c r="D86" s="35">
        <v>0.22552388451475208</v>
      </c>
      <c r="E86" s="35">
        <v>0.12253480971600214</v>
      </c>
      <c r="F86" s="35">
        <v>0.16631488192170282</v>
      </c>
      <c r="G86" s="35">
        <v>0.12795835050795476</v>
      </c>
      <c r="H86" s="35">
        <v>0.16656032530360443</v>
      </c>
      <c r="I86" s="35">
        <v>0.1330905189600117</v>
      </c>
      <c r="J86" s="35">
        <v>3.9242809154053891E-2</v>
      </c>
      <c r="K86" s="35">
        <v>0.20245755334415558</v>
      </c>
    </row>
    <row r="87" spans="1:11" x14ac:dyDescent="0.2">
      <c r="A87" s="33">
        <v>42853</v>
      </c>
      <c r="B87" s="35">
        <v>0.27163663996196979</v>
      </c>
      <c r="C87" s="35">
        <v>0.21829747183284054</v>
      </c>
      <c r="D87" s="35">
        <v>0.17375795747495279</v>
      </c>
      <c r="E87" s="35">
        <v>0.18373920134725777</v>
      </c>
      <c r="F87" s="35">
        <v>0.21953938444490564</v>
      </c>
      <c r="G87" s="35">
        <v>0.14679440985662948</v>
      </c>
      <c r="H87" s="35">
        <v>0.12377747658608508</v>
      </c>
      <c r="I87" s="35">
        <v>5.1254636346292133E-2</v>
      </c>
      <c r="J87" s="35">
        <v>0.11221566838018501</v>
      </c>
      <c r="K87" s="35">
        <v>0.14509598411421024</v>
      </c>
    </row>
    <row r="88" spans="1:11" x14ac:dyDescent="0.2">
      <c r="A88" s="33">
        <v>42856</v>
      </c>
      <c r="B88" s="35">
        <v>9.6924491683926986E-2</v>
      </c>
      <c r="C88" s="35">
        <v>5.3122223599075043E-2</v>
      </c>
      <c r="D88" s="35">
        <v>-6.0549318428552781E-3</v>
      </c>
      <c r="E88" s="35">
        <v>3.2252958524692156E-2</v>
      </c>
      <c r="F88" s="35">
        <v>7.0375823959487063E-2</v>
      </c>
      <c r="G88" s="35">
        <v>0.10013086925786893</v>
      </c>
      <c r="H88" s="35">
        <v>0.12240112931711157</v>
      </c>
      <c r="I88" s="35">
        <v>0.13337705144857273</v>
      </c>
      <c r="J88" s="35">
        <v>6.8559481754270429E-2</v>
      </c>
      <c r="K88" s="35">
        <v>0.21336784528982985</v>
      </c>
    </row>
    <row r="89" spans="1:11" x14ac:dyDescent="0.2">
      <c r="A89" s="33">
        <v>42857</v>
      </c>
      <c r="B89" s="35">
        <v>0.18610466320473609</v>
      </c>
      <c r="C89" s="35">
        <v>6.284779999218619E-2</v>
      </c>
      <c r="D89" s="35">
        <v>-5.5385762677974452E-2</v>
      </c>
      <c r="E89" s="35">
        <v>1.3527038729610561E-3</v>
      </c>
      <c r="F89" s="35">
        <v>4.1468755630965241E-2</v>
      </c>
      <c r="G89" s="35">
        <v>9.6879980609316504E-2</v>
      </c>
      <c r="H89" s="35">
        <v>5.7557021993388368E-3</v>
      </c>
      <c r="I89" s="35">
        <v>4.20161905984172E-2</v>
      </c>
      <c r="J89" s="35">
        <v>3.407018694021071E-2</v>
      </c>
      <c r="K89" s="35">
        <v>0.14709348153559088</v>
      </c>
    </row>
    <row r="90" spans="1:11" x14ac:dyDescent="0.2">
      <c r="A90" s="33">
        <v>42858</v>
      </c>
      <c r="B90" s="35">
        <v>0.17482747871286647</v>
      </c>
      <c r="C90" s="35">
        <v>0.21295355062486257</v>
      </c>
      <c r="D90" s="35">
        <v>0.37419096538015334</v>
      </c>
      <c r="E90" s="35">
        <v>0.25733390495346276</v>
      </c>
      <c r="F90" s="35">
        <v>0.30069473871756114</v>
      </c>
      <c r="G90" s="35">
        <v>0.18200092756785349</v>
      </c>
      <c r="H90" s="35">
        <v>3.7079726402295232E-2</v>
      </c>
      <c r="I90" s="35">
        <v>6.5883145960310405E-2</v>
      </c>
      <c r="J90" s="35">
        <v>9.9384819072582786E-2</v>
      </c>
      <c r="K90" s="35">
        <v>0.15009151591080705</v>
      </c>
    </row>
    <row r="91" spans="1:11" x14ac:dyDescent="0.2">
      <c r="A91" s="33">
        <v>42859</v>
      </c>
      <c r="B91" s="35">
        <v>3.2939196890373279E-2</v>
      </c>
      <c r="C91" s="35">
        <v>7.746257509988802E-2</v>
      </c>
      <c r="D91" s="35">
        <v>0.10878213365825957</v>
      </c>
      <c r="E91" s="35">
        <v>2.0444768800929609E-2</v>
      </c>
      <c r="F91" s="35">
        <v>5.9326476059794152E-2</v>
      </c>
      <c r="G91" s="35">
        <v>0.13524620195456435</v>
      </c>
      <c r="H91" s="35">
        <v>0.1421835119039325</v>
      </c>
      <c r="I91" s="35">
        <v>4.3316402644182871E-2</v>
      </c>
      <c r="J91" s="35">
        <v>8.7418000098813037E-2</v>
      </c>
      <c r="K91" s="35">
        <v>0.12504554363748993</v>
      </c>
    </row>
    <row r="92" spans="1:11" x14ac:dyDescent="0.2">
      <c r="A92" s="33">
        <v>42860</v>
      </c>
      <c r="B92" s="35">
        <v>0.37375292177833208</v>
      </c>
      <c r="C92" s="35">
        <v>0.29069345116173934</v>
      </c>
      <c r="D92" s="35">
        <v>0.236372159291696</v>
      </c>
      <c r="E92" s="35">
        <v>0.20690132954190779</v>
      </c>
      <c r="F92" s="35">
        <v>0.23789671834849582</v>
      </c>
      <c r="G92" s="35">
        <v>0.13923824875647348</v>
      </c>
      <c r="H92" s="35">
        <v>0.3206737663667078</v>
      </c>
      <c r="I92" s="35">
        <v>0.19324233930768156</v>
      </c>
      <c r="J92" s="35">
        <v>0.12881921324679932</v>
      </c>
      <c r="K92" s="35">
        <v>0.25663890008871632</v>
      </c>
    </row>
    <row r="93" spans="1:11" x14ac:dyDescent="0.2">
      <c r="A93" s="33">
        <v>42863</v>
      </c>
      <c r="B93" s="35">
        <v>-3.8927699690563727E-2</v>
      </c>
      <c r="C93" s="35">
        <v>-9.755242982711047E-3</v>
      </c>
      <c r="D93" s="35">
        <v>0.11524777524863113</v>
      </c>
      <c r="E93" s="35">
        <v>2.9203293420796807E-3</v>
      </c>
      <c r="F93" s="35">
        <v>4.9585166673129906E-2</v>
      </c>
      <c r="G93" s="35">
        <v>0.1400235604383466</v>
      </c>
      <c r="H93" s="35">
        <v>-0.19174072510821424</v>
      </c>
      <c r="I93" s="35">
        <v>-8.5598761229888701E-2</v>
      </c>
      <c r="J93" s="35">
        <v>1.002382413969426E-2</v>
      </c>
      <c r="K93" s="35">
        <v>2.2880743683629176E-2</v>
      </c>
    </row>
    <row r="94" spans="1:11" x14ac:dyDescent="0.2">
      <c r="A94" s="33">
        <v>42864</v>
      </c>
      <c r="B94" s="35">
        <v>-0.15871535538781573</v>
      </c>
      <c r="C94" s="35">
        <v>-2.5628201205317561E-2</v>
      </c>
      <c r="D94" s="35">
        <v>-2.1904435072210519E-2</v>
      </c>
      <c r="E94" s="35">
        <v>-8.2035356348511668E-2</v>
      </c>
      <c r="F94" s="35">
        <v>-3.901360574601942E-2</v>
      </c>
      <c r="G94" s="35">
        <v>0.10491962584327681</v>
      </c>
      <c r="H94" s="35">
        <v>-5.7138744032925307E-2</v>
      </c>
      <c r="I94" s="35">
        <v>0.1725974365140015</v>
      </c>
      <c r="J94" s="35">
        <v>0.10416028695626652</v>
      </c>
      <c r="K94" s="35">
        <v>0.25409829340056178</v>
      </c>
    </row>
    <row r="95" spans="1:11" x14ac:dyDescent="0.2">
      <c r="A95" s="33">
        <v>42865</v>
      </c>
      <c r="B95" s="35">
        <v>0.16497049118649373</v>
      </c>
      <c r="C95" s="35">
        <v>1.9023139966810435E-2</v>
      </c>
      <c r="D95" s="35">
        <v>0.2456587432293762</v>
      </c>
      <c r="E95" s="35">
        <v>0.14795130741454654</v>
      </c>
      <c r="F95" s="35">
        <v>0.18221733373228227</v>
      </c>
      <c r="G95" s="35">
        <v>0.16933490757905384</v>
      </c>
      <c r="H95" s="35">
        <v>-4.1024483815662684E-2</v>
      </c>
      <c r="I95" s="35">
        <v>-1.2759222280487356E-2</v>
      </c>
      <c r="J95" s="35">
        <v>9.1624934951770043E-3</v>
      </c>
      <c r="K95" s="35">
        <v>7.0149118849042055E-2</v>
      </c>
    </row>
    <row r="96" spans="1:11" x14ac:dyDescent="0.2">
      <c r="A96" s="33">
        <v>42866</v>
      </c>
      <c r="B96" s="35">
        <v>8.0961189223445224E-2</v>
      </c>
      <c r="C96" s="35">
        <v>7.3586828965798616E-3</v>
      </c>
      <c r="D96" s="35">
        <v>0.11950620911891081</v>
      </c>
      <c r="E96" s="35">
        <v>2.7732487486975429E-2</v>
      </c>
      <c r="F96" s="35">
        <v>7.0761446185024154E-2</v>
      </c>
      <c r="G96" s="35">
        <v>0.14701838640661297</v>
      </c>
      <c r="H96" s="35">
        <v>-6.0046187198626817E-2</v>
      </c>
      <c r="I96" s="35">
        <v>8.9723603138253921E-2</v>
      </c>
      <c r="J96" s="35">
        <v>5.3892889337685233E-2</v>
      </c>
      <c r="K96" s="35">
        <v>0.1643282404743589</v>
      </c>
    </row>
    <row r="97" spans="1:11" x14ac:dyDescent="0.2">
      <c r="A97" s="33">
        <v>42867</v>
      </c>
      <c r="B97" s="35">
        <v>0.18318602351617996</v>
      </c>
      <c r="C97" s="35">
        <v>4.8140275296718105E-2</v>
      </c>
      <c r="D97" s="35">
        <v>6.9892675514250518E-2</v>
      </c>
      <c r="E97" s="35">
        <v>7.142176878653618E-2</v>
      </c>
      <c r="F97" s="35">
        <v>0.11465221757374103</v>
      </c>
      <c r="G97" s="35">
        <v>0.14584243415950099</v>
      </c>
      <c r="H97" s="35">
        <v>-5.4157978018110106E-2</v>
      </c>
      <c r="I97" s="35">
        <v>4.8336427530700166E-2</v>
      </c>
      <c r="J97" s="35">
        <v>6.5875938513119917E-2</v>
      </c>
      <c r="K97" s="35">
        <v>0.1365738694776866</v>
      </c>
    </row>
    <row r="98" spans="1:11" x14ac:dyDescent="0.2">
      <c r="A98" s="33">
        <v>42870</v>
      </c>
      <c r="B98" s="35">
        <v>0.13966860825665689</v>
      </c>
      <c r="C98" s="35">
        <v>0.18920018756406745</v>
      </c>
      <c r="D98" s="35">
        <v>0.31241288969271308</v>
      </c>
      <c r="E98" s="35">
        <v>0.17265984360872566</v>
      </c>
      <c r="F98" s="35">
        <v>0.22176297501248426</v>
      </c>
      <c r="G98" s="35">
        <v>0.17235068717067192</v>
      </c>
      <c r="H98" s="35">
        <v>0.22851346592503907</v>
      </c>
      <c r="I98" s="35">
        <v>6.1003820771043583E-2</v>
      </c>
      <c r="J98" s="35">
        <v>0.12119315417868635</v>
      </c>
      <c r="K98" s="35">
        <v>0.15075961931080675</v>
      </c>
    </row>
    <row r="99" spans="1:11" x14ac:dyDescent="0.2">
      <c r="A99" s="33">
        <v>42871</v>
      </c>
      <c r="B99" s="35">
        <v>0.20675412096736595</v>
      </c>
      <c r="C99" s="35">
        <v>0.12909030711591213</v>
      </c>
      <c r="D99" s="35">
        <v>-2.7319605223238334E-2</v>
      </c>
      <c r="E99" s="35">
        <v>6.5616169714633563E-2</v>
      </c>
      <c r="F99" s="35">
        <v>0.10857285942258439</v>
      </c>
      <c r="G99" s="35">
        <v>0.11964333024005878</v>
      </c>
      <c r="H99" s="35">
        <v>0.13766088901841428</v>
      </c>
      <c r="I99" s="35">
        <v>0.26013256691576725</v>
      </c>
      <c r="J99" s="35">
        <v>0.11042951122138348</v>
      </c>
      <c r="K99" s="35">
        <v>0.3320270840918938</v>
      </c>
    </row>
    <row r="100" spans="1:11" x14ac:dyDescent="0.2">
      <c r="A100" s="33">
        <v>42872</v>
      </c>
      <c r="B100" s="35">
        <v>0.29741208685246023</v>
      </c>
      <c r="C100" s="35">
        <v>0.23946702288557734</v>
      </c>
      <c r="D100" s="35">
        <v>0.19216815851734251</v>
      </c>
      <c r="E100" s="35">
        <v>0.20250789231517746</v>
      </c>
      <c r="F100" s="35">
        <v>0.2395169498248432</v>
      </c>
      <c r="G100" s="35">
        <v>0.16328784559987933</v>
      </c>
      <c r="H100" s="35">
        <v>0.16834973161624744</v>
      </c>
      <c r="I100" s="35">
        <v>0.13070068437126331</v>
      </c>
      <c r="J100" s="35">
        <v>0.12846852786830684</v>
      </c>
      <c r="K100" s="35">
        <v>0.22251077859101254</v>
      </c>
    </row>
    <row r="101" spans="1:11" x14ac:dyDescent="0.2">
      <c r="A101" s="33">
        <v>42873</v>
      </c>
      <c r="B101" s="35">
        <v>5.8623139987960961E-2</v>
      </c>
      <c r="C101" s="35">
        <v>2.9312393760312663E-2</v>
      </c>
      <c r="D101" s="35">
        <v>7.1870129348054784E-2</v>
      </c>
      <c r="E101" s="35">
        <v>2.8092215755861506E-2</v>
      </c>
      <c r="F101" s="35">
        <v>6.9317060974163625E-2</v>
      </c>
      <c r="G101" s="35">
        <v>0.14125606338407712</v>
      </c>
      <c r="H101" s="35">
        <v>-1.9131234902845733E-2</v>
      </c>
      <c r="I101" s="35">
        <v>-3.6598710878052418E-5</v>
      </c>
      <c r="J101" s="35">
        <v>4.2410124867220079E-3</v>
      </c>
      <c r="K101" s="35">
        <v>8.1789387595039023E-2</v>
      </c>
    </row>
    <row r="102" spans="1:11" x14ac:dyDescent="0.2">
      <c r="A102" s="33">
        <v>42874</v>
      </c>
      <c r="B102" s="35">
        <v>0.20017312985321264</v>
      </c>
      <c r="C102" s="35">
        <v>0.1840767244481317</v>
      </c>
      <c r="D102" s="35">
        <v>0.22765171858999605</v>
      </c>
      <c r="E102" s="35">
        <v>0.20766258459246212</v>
      </c>
      <c r="F102" s="35">
        <v>0.23896849651168453</v>
      </c>
      <c r="G102" s="35">
        <v>0.1697116292717871</v>
      </c>
      <c r="H102" s="35">
        <v>-6.9936297921086341E-2</v>
      </c>
      <c r="I102" s="35">
        <v>7.7070574289153523E-2</v>
      </c>
      <c r="J102" s="35">
        <v>0.10421495813767889</v>
      </c>
      <c r="K102" s="35">
        <v>0.17538905399766219</v>
      </c>
    </row>
    <row r="103" spans="1:11" x14ac:dyDescent="0.2">
      <c r="A103" s="33">
        <v>42877</v>
      </c>
      <c r="B103" s="35">
        <v>9.0924166375302387E-2</v>
      </c>
      <c r="C103" s="35">
        <v>4.611559080412006E-2</v>
      </c>
      <c r="D103" s="35">
        <v>0.1241462276713958</v>
      </c>
      <c r="E103" s="35">
        <v>3.1889850621517557E-2</v>
      </c>
      <c r="F103" s="35">
        <v>7.2914966051218999E-2</v>
      </c>
      <c r="G103" s="35">
        <v>0.12668665326583886</v>
      </c>
      <c r="H103" s="35">
        <v>0.19026799484133022</v>
      </c>
      <c r="I103" s="35">
        <v>2.9003142752790943E-2</v>
      </c>
      <c r="J103" s="35">
        <v>1.4565611933414274E-2</v>
      </c>
      <c r="K103" s="35">
        <v>0.11318440615968489</v>
      </c>
    </row>
    <row r="104" spans="1:11" x14ac:dyDescent="0.2">
      <c r="A104" s="33">
        <v>42878</v>
      </c>
      <c r="B104" s="35">
        <v>-3.5872477621707498E-2</v>
      </c>
      <c r="C104" s="35">
        <v>-9.0526660982829188E-2</v>
      </c>
      <c r="D104" s="35">
        <v>0.23143503317556599</v>
      </c>
      <c r="E104" s="35">
        <v>2.5238976696986441E-2</v>
      </c>
      <c r="F104" s="35">
        <v>6.9001891324112621E-2</v>
      </c>
      <c r="G104" s="35">
        <v>0.14506608851036218</v>
      </c>
      <c r="H104" s="35">
        <v>-0.11643656937810358</v>
      </c>
      <c r="I104" s="35">
        <v>-9.729194136429295E-2</v>
      </c>
      <c r="J104" s="35">
        <v>-2.7740662544566815E-2</v>
      </c>
      <c r="K104" s="35">
        <v>-3.8906582443390195E-3</v>
      </c>
    </row>
    <row r="105" spans="1:11" x14ac:dyDescent="0.2">
      <c r="A105" s="33">
        <v>42879</v>
      </c>
      <c r="B105" s="35">
        <v>-5.7612581549102523E-2</v>
      </c>
      <c r="C105" s="35">
        <v>-8.6273994492338885E-2</v>
      </c>
      <c r="D105" s="35">
        <v>0.29773481489498471</v>
      </c>
      <c r="E105" s="35">
        <v>7.2288348859078949E-2</v>
      </c>
      <c r="F105" s="35">
        <v>0.1110897795625173</v>
      </c>
      <c r="G105" s="35">
        <v>0.18006162243091189</v>
      </c>
      <c r="H105" s="35">
        <v>-0.13933125288004702</v>
      </c>
      <c r="I105" s="35">
        <v>-9.9994247494836486E-2</v>
      </c>
      <c r="J105" s="35">
        <v>2.5735525365295411E-2</v>
      </c>
      <c r="K105" s="35">
        <v>-1.4200891761332027E-2</v>
      </c>
    </row>
    <row r="106" spans="1:11" x14ac:dyDescent="0.2">
      <c r="A106" s="33">
        <v>42880</v>
      </c>
      <c r="B106" s="35">
        <v>0.12064649969411323</v>
      </c>
      <c r="C106" s="35">
        <v>-6.7095199976050235E-2</v>
      </c>
      <c r="D106" s="35">
        <v>-4.7593854692737664E-2</v>
      </c>
      <c r="E106" s="35">
        <v>-0.10932091138889412</v>
      </c>
      <c r="F106" s="35">
        <v>-6.5206099352707478E-2</v>
      </c>
      <c r="G106" s="35">
        <v>9.1376139772867945E-2</v>
      </c>
      <c r="H106" s="35">
        <v>-0.14545866795683035</v>
      </c>
      <c r="I106" s="35">
        <v>5.896408650641817E-3</v>
      </c>
      <c r="J106" s="35">
        <v>3.7008788513592781E-3</v>
      </c>
      <c r="K106" s="35">
        <v>9.3301467934765722E-2</v>
      </c>
    </row>
    <row r="107" spans="1:11" x14ac:dyDescent="0.2">
      <c r="A107" s="33">
        <v>42881</v>
      </c>
      <c r="B107" s="35">
        <v>0.11430948932821479</v>
      </c>
      <c r="C107" s="35">
        <v>0.17542724522015751</v>
      </c>
      <c r="D107" s="35">
        <v>0.26523103803679909</v>
      </c>
      <c r="E107" s="35">
        <v>0.12741057127489192</v>
      </c>
      <c r="F107" s="35">
        <v>0.17216329272763989</v>
      </c>
      <c r="G107" s="35">
        <v>0.13979447045454585</v>
      </c>
      <c r="H107" s="35">
        <v>0.16649324369979454</v>
      </c>
      <c r="I107" s="35">
        <v>0.17584974770159614</v>
      </c>
      <c r="J107" s="35">
        <v>0.12004224954200976</v>
      </c>
      <c r="K107" s="35">
        <v>0.24327771169952683</v>
      </c>
    </row>
    <row r="108" spans="1:11" x14ac:dyDescent="0.2">
      <c r="A108" s="33">
        <v>42884</v>
      </c>
      <c r="B108" s="35">
        <v>-3.3987622060148846E-2</v>
      </c>
      <c r="C108" s="35">
        <v>-4.9593103025156224E-2</v>
      </c>
      <c r="D108" s="35">
        <v>3.9957078915891557E-2</v>
      </c>
      <c r="E108" s="35">
        <v>-3.7800986628802144E-2</v>
      </c>
      <c r="F108" s="35">
        <v>4.5424322259564678E-3</v>
      </c>
      <c r="G108" s="35">
        <v>0.13623870582331141</v>
      </c>
      <c r="H108" s="35">
        <v>1.2922436247590562E-2</v>
      </c>
      <c r="I108" s="35">
        <v>-1.7738146462266492E-2</v>
      </c>
      <c r="J108" s="35">
        <v>4.9937180931831859E-2</v>
      </c>
      <c r="K108" s="35">
        <v>7.4096598419083962E-2</v>
      </c>
    </row>
    <row r="109" spans="1:11" x14ac:dyDescent="0.2">
      <c r="A109" s="33">
        <v>42885</v>
      </c>
      <c r="B109" s="35">
        <v>-5.837461766432934E-3</v>
      </c>
      <c r="C109" s="35">
        <v>-8.8264512790667007E-2</v>
      </c>
      <c r="D109" s="35">
        <v>7.2857851583441033E-2</v>
      </c>
      <c r="E109" s="35">
        <v>-5.3382361727031945E-2</v>
      </c>
      <c r="F109" s="35">
        <v>-2.3764670707334765E-3</v>
      </c>
      <c r="G109" s="35">
        <v>0.10838279131256023</v>
      </c>
      <c r="H109" s="35">
        <v>-0.12187729533739868</v>
      </c>
      <c r="I109" s="35">
        <v>-0.11403071824295311</v>
      </c>
      <c r="J109" s="35">
        <v>-1.675646877181499E-2</v>
      </c>
      <c r="K109" s="35">
        <v>-3.8644924996371682E-3</v>
      </c>
    </row>
    <row r="110" spans="1:11" x14ac:dyDescent="0.2">
      <c r="A110" s="33">
        <v>42886</v>
      </c>
      <c r="B110" s="35">
        <v>7.3639635072003565E-2</v>
      </c>
      <c r="C110" s="35">
        <v>-3.8317752064619265E-2</v>
      </c>
      <c r="D110" s="35">
        <v>0.10779368765781011</v>
      </c>
      <c r="E110" s="35">
        <v>2.8348987133521561E-2</v>
      </c>
      <c r="F110" s="35">
        <v>6.0179787984852746E-2</v>
      </c>
      <c r="G110" s="35">
        <v>0.14640231478618856</v>
      </c>
      <c r="H110" s="35">
        <v>-7.9109523689442254E-2</v>
      </c>
      <c r="I110" s="35">
        <v>-9.6565132417746214E-3</v>
      </c>
      <c r="J110" s="35">
        <v>8.9903798878876048E-2</v>
      </c>
      <c r="K110" s="35">
        <v>7.9639819387813976E-2</v>
      </c>
    </row>
    <row r="111" spans="1:11" x14ac:dyDescent="0.2">
      <c r="A111" s="33">
        <v>42887</v>
      </c>
      <c r="B111" s="35">
        <v>6.2319633500367476E-2</v>
      </c>
      <c r="C111" s="35">
        <v>-8.5553526634832719E-2</v>
      </c>
      <c r="D111" s="35">
        <v>2.8954646702599424E-2</v>
      </c>
      <c r="E111" s="35">
        <v>-4.5454675930949442E-2</v>
      </c>
      <c r="F111" s="35">
        <v>-5.1622705112494257E-3</v>
      </c>
      <c r="G111" s="35">
        <v>9.5281566338137461E-2</v>
      </c>
      <c r="H111" s="35">
        <v>-0.12636881799086194</v>
      </c>
      <c r="I111" s="35">
        <v>4.9011889320883829E-2</v>
      </c>
      <c r="J111" s="35">
        <v>-1.6722985947149566E-2</v>
      </c>
      <c r="K111" s="35">
        <v>0.1303534962601689</v>
      </c>
    </row>
    <row r="112" spans="1:11" x14ac:dyDescent="0.2">
      <c r="A112" s="33">
        <v>42888</v>
      </c>
      <c r="B112" s="35">
        <v>0.17903577005842983</v>
      </c>
      <c r="C112" s="35">
        <v>0.13935301244471399</v>
      </c>
      <c r="D112" s="35">
        <v>7.7193716390222961E-2</v>
      </c>
      <c r="E112" s="35">
        <v>6.7812989027999843E-2</v>
      </c>
      <c r="F112" s="35">
        <v>0.10935169785409564</v>
      </c>
      <c r="G112" s="35">
        <v>9.6352420525601917E-2</v>
      </c>
      <c r="H112" s="35">
        <v>9.5878706115230181E-2</v>
      </c>
      <c r="I112" s="35">
        <v>5.9492881188909309E-2</v>
      </c>
      <c r="J112" s="35">
        <v>0.10492886463573249</v>
      </c>
      <c r="K112" s="35">
        <v>0.16831381043317409</v>
      </c>
    </row>
    <row r="113" spans="1:11" x14ac:dyDescent="0.2">
      <c r="A113" s="33">
        <v>42891</v>
      </c>
      <c r="B113" s="35">
        <v>0.18949876149285361</v>
      </c>
      <c r="C113" s="35">
        <v>0.14563456087938037</v>
      </c>
      <c r="D113" s="35">
        <v>0.24064806735217439</v>
      </c>
      <c r="E113" s="35">
        <v>0.12284853262507521</v>
      </c>
      <c r="F113" s="35">
        <v>0.1649555887253375</v>
      </c>
      <c r="G113" s="35">
        <v>0.15092433121169049</v>
      </c>
      <c r="H113" s="35">
        <v>0.14805757061888597</v>
      </c>
      <c r="I113" s="35">
        <v>8.9638784680187253E-2</v>
      </c>
      <c r="J113" s="35">
        <v>6.4669009767504324E-2</v>
      </c>
      <c r="K113" s="35">
        <v>0.17033398638691885</v>
      </c>
    </row>
    <row r="114" spans="1:11" x14ac:dyDescent="0.2">
      <c r="A114" s="33">
        <v>42892</v>
      </c>
      <c r="B114" s="35">
        <v>0.26025118383866741</v>
      </c>
      <c r="C114" s="35">
        <v>0.22922692690441626</v>
      </c>
      <c r="D114" s="35">
        <v>0.12370484704076717</v>
      </c>
      <c r="E114" s="35">
        <v>0.14208696149573785</v>
      </c>
      <c r="F114" s="35">
        <v>0.17856924974650246</v>
      </c>
      <c r="G114" s="35">
        <v>0.14243819915896197</v>
      </c>
      <c r="H114" s="35">
        <v>0.16021478682098353</v>
      </c>
      <c r="I114" s="35">
        <v>0.16264324266846489</v>
      </c>
      <c r="J114" s="35">
        <v>0.13896090865340996</v>
      </c>
      <c r="K114" s="35">
        <v>0.2512093052343391</v>
      </c>
    </row>
    <row r="115" spans="1:11" x14ac:dyDescent="0.2">
      <c r="A115" s="33">
        <v>42893</v>
      </c>
      <c r="B115" s="35">
        <v>0.39647437773318112</v>
      </c>
      <c r="C115" s="35">
        <v>0.28267242758730032</v>
      </c>
      <c r="D115" s="35">
        <v>0.32003113064833255</v>
      </c>
      <c r="E115" s="35">
        <v>0.28955975342002116</v>
      </c>
      <c r="F115" s="35">
        <v>0.32417811647931338</v>
      </c>
      <c r="G115" s="35">
        <v>0.17677182977157432</v>
      </c>
      <c r="H115" s="35">
        <v>8.2242310511156602E-2</v>
      </c>
      <c r="I115" s="35">
        <v>7.2624485905826625E-2</v>
      </c>
      <c r="J115" s="35">
        <v>0.14557981329119277</v>
      </c>
      <c r="K115" s="35">
        <v>0.15757120066987787</v>
      </c>
    </row>
    <row r="116" spans="1:11" x14ac:dyDescent="0.2">
      <c r="A116" s="33">
        <v>42894</v>
      </c>
      <c r="B116" s="35">
        <v>-8.1525722479837172E-3</v>
      </c>
      <c r="C116" s="35">
        <v>0.1164145083650103</v>
      </c>
      <c r="D116" s="35">
        <v>0.14563376057618291</v>
      </c>
      <c r="E116" s="35">
        <v>9.3209900765427275E-2</v>
      </c>
      <c r="F116" s="35">
        <v>0.14245274512597011</v>
      </c>
      <c r="G116" s="35">
        <v>0.15258659234660288</v>
      </c>
      <c r="H116" s="35">
        <v>-5.7142849845983161E-3</v>
      </c>
      <c r="I116" s="35">
        <v>5.0181124189884303E-2</v>
      </c>
      <c r="J116" s="35">
        <v>5.6052412166823211E-2</v>
      </c>
      <c r="K116" s="35">
        <v>0.13965505879642204</v>
      </c>
    </row>
    <row r="117" spans="1:11" x14ac:dyDescent="0.2">
      <c r="A117" s="33">
        <v>42895</v>
      </c>
      <c r="B117" s="35">
        <v>0.34482940969808989</v>
      </c>
      <c r="C117" s="35">
        <v>0.3059100714426311</v>
      </c>
      <c r="D117" s="35">
        <v>0.1560212354751927</v>
      </c>
      <c r="E117" s="35">
        <v>0.17178388677632081</v>
      </c>
      <c r="F117" s="35">
        <v>0.20837402470165234</v>
      </c>
      <c r="G117" s="35">
        <v>0.13505841652506784</v>
      </c>
      <c r="H117" s="35">
        <v>0.23232741100009993</v>
      </c>
      <c r="I117" s="35">
        <v>0.20160911993503</v>
      </c>
      <c r="J117" s="35">
        <v>0.12890143804222232</v>
      </c>
      <c r="K117" s="35">
        <v>0.28242875132675044</v>
      </c>
    </row>
    <row r="118" spans="1:11" x14ac:dyDescent="0.2">
      <c r="A118" s="33">
        <v>42898</v>
      </c>
      <c r="B118" s="35">
        <v>-3.3042102043706313E-2</v>
      </c>
      <c r="C118" s="35">
        <v>-0.11952770496622349</v>
      </c>
      <c r="D118" s="35">
        <v>2.1069308790479654E-3</v>
      </c>
      <c r="E118" s="35">
        <v>-0.11965442491217212</v>
      </c>
      <c r="F118" s="35">
        <v>-7.9685969523325878E-2</v>
      </c>
      <c r="G118" s="35">
        <v>9.3685136349425435E-2</v>
      </c>
      <c r="H118" s="35">
        <v>-8.2058337280627974E-2</v>
      </c>
      <c r="I118" s="35">
        <v>2.4989028957120112E-2</v>
      </c>
      <c r="J118" s="35">
        <v>2.8713883193109049E-2</v>
      </c>
      <c r="K118" s="35">
        <v>0.11586528807307193</v>
      </c>
    </row>
    <row r="119" spans="1:11" x14ac:dyDescent="0.2">
      <c r="A119" s="33">
        <v>42899</v>
      </c>
      <c r="B119" s="35">
        <v>-4.3297072429518161E-3</v>
      </c>
      <c r="C119" s="35">
        <v>1.9926680455651005E-2</v>
      </c>
      <c r="D119" s="35">
        <v>9.8878561256100575E-2</v>
      </c>
      <c r="E119" s="35">
        <v>4.815106541679149E-2</v>
      </c>
      <c r="F119" s="35">
        <v>8.8862124488727753E-2</v>
      </c>
      <c r="G119" s="35">
        <v>8.9607023980159989E-2</v>
      </c>
      <c r="H119" s="35">
        <v>-4.4451646930636322E-2</v>
      </c>
      <c r="I119" s="35">
        <v>0.14720961406544145</v>
      </c>
      <c r="J119" s="35">
        <v>2.9569733015006174E-2</v>
      </c>
      <c r="K119" s="35">
        <v>0.20917066096052997</v>
      </c>
    </row>
    <row r="120" spans="1:11" x14ac:dyDescent="0.2">
      <c r="A120" s="33">
        <v>42900</v>
      </c>
      <c r="B120" s="35">
        <v>-4.3712066834908159E-3</v>
      </c>
      <c r="C120" s="35">
        <v>-9.7111702636184169E-3</v>
      </c>
      <c r="D120" s="35">
        <v>5.9943577285958942E-2</v>
      </c>
      <c r="E120" s="35">
        <v>-3.6185542860944594E-2</v>
      </c>
      <c r="F120" s="35">
        <v>-5.642364717363289E-3</v>
      </c>
      <c r="G120" s="35">
        <v>0.13942746439628029</v>
      </c>
      <c r="H120" s="35">
        <v>0.24738811074095257</v>
      </c>
      <c r="I120" s="35">
        <v>0.11303315916665881</v>
      </c>
      <c r="J120" s="35">
        <v>9.5399329100957303E-2</v>
      </c>
      <c r="K120" s="35">
        <v>0.1984547027860939</v>
      </c>
    </row>
    <row r="121" spans="1:11" x14ac:dyDescent="0.2">
      <c r="A121" s="33">
        <v>42901</v>
      </c>
      <c r="B121" s="35">
        <v>7.8308202341782165E-2</v>
      </c>
      <c r="C121" s="35">
        <v>4.8862967997592453E-2</v>
      </c>
      <c r="D121" s="35">
        <v>-0.12682443354925615</v>
      </c>
      <c r="E121" s="35">
        <v>-1.7932411894136028E-2</v>
      </c>
      <c r="F121" s="35">
        <v>1.642777385188026E-2</v>
      </c>
      <c r="G121" s="35">
        <v>8.6149661510206213E-2</v>
      </c>
      <c r="H121" s="35">
        <v>0.12802890900137884</v>
      </c>
      <c r="I121" s="35">
        <v>9.2980519356629987E-2</v>
      </c>
      <c r="J121" s="35">
        <v>9.6406364895746582E-2</v>
      </c>
      <c r="K121" s="35">
        <v>0.18016902007152988</v>
      </c>
    </row>
    <row r="122" spans="1:11" x14ac:dyDescent="0.2">
      <c r="A122" s="33">
        <v>42902</v>
      </c>
      <c r="B122" s="35">
        <v>4.1902059727365333E-2</v>
      </c>
      <c r="C122" s="35">
        <v>9.2663793045848611E-2</v>
      </c>
      <c r="D122" s="35">
        <v>0.2567058908339514</v>
      </c>
      <c r="E122" s="35">
        <v>0.10278318311592738</v>
      </c>
      <c r="F122" s="35">
        <v>0.14445013322958059</v>
      </c>
      <c r="G122" s="35">
        <v>0.16107754423425982</v>
      </c>
      <c r="H122" s="35">
        <v>0.12492301841142366</v>
      </c>
      <c r="I122" s="35">
        <v>5.7491841192576755E-2</v>
      </c>
      <c r="J122" s="35">
        <v>8.0766241005707451E-2</v>
      </c>
      <c r="K122" s="35">
        <v>0.15040207009997419</v>
      </c>
    </row>
    <row r="123" spans="1:11" x14ac:dyDescent="0.2">
      <c r="A123" s="33">
        <v>42905</v>
      </c>
      <c r="B123" s="35">
        <v>-1.7889272883478816E-2</v>
      </c>
      <c r="C123" s="35">
        <v>-0.15591759394986482</v>
      </c>
      <c r="D123" s="35">
        <v>-0.12712964554041248</v>
      </c>
      <c r="E123" s="35">
        <v>-0.12573184721031808</v>
      </c>
      <c r="F123" s="35">
        <v>-8.4054812964553596E-2</v>
      </c>
      <c r="G123" s="35">
        <v>0.10452980696862438</v>
      </c>
      <c r="H123" s="35">
        <v>-0.1486204705821132</v>
      </c>
      <c r="I123" s="35">
        <v>7.3382852054420467E-2</v>
      </c>
      <c r="J123" s="35">
        <v>7.0332170241760861E-2</v>
      </c>
      <c r="K123" s="35">
        <v>0.16706906439084818</v>
      </c>
    </row>
    <row r="124" spans="1:11" x14ac:dyDescent="0.2">
      <c r="A124" s="33">
        <v>42906</v>
      </c>
      <c r="B124" s="35">
        <v>-2.6063807366318803E-2</v>
      </c>
      <c r="C124" s="35">
        <v>0.15043596202201392</v>
      </c>
      <c r="D124" s="35">
        <v>-4.2715409719723582E-2</v>
      </c>
      <c r="E124" s="35">
        <v>1.0699979288882708E-2</v>
      </c>
      <c r="F124" s="35">
        <v>5.3096392896525187E-2</v>
      </c>
      <c r="G124" s="35">
        <v>8.3715369405286566E-2</v>
      </c>
      <c r="H124" s="35">
        <v>0.18826557470856697</v>
      </c>
      <c r="I124" s="35">
        <v>8.4533609580813712E-2</v>
      </c>
      <c r="J124" s="35">
        <v>8.7036412920692821E-2</v>
      </c>
      <c r="K124" s="35">
        <v>0.17135558188704345</v>
      </c>
    </row>
    <row r="125" spans="1:11" x14ac:dyDescent="0.2">
      <c r="A125" s="33">
        <v>42907</v>
      </c>
      <c r="B125" s="35">
        <v>2.857916217272161E-2</v>
      </c>
      <c r="C125" s="35">
        <v>-3.2687245791830711E-3</v>
      </c>
      <c r="D125" s="35">
        <v>0.13769597191747068</v>
      </c>
      <c r="E125" s="35">
        <v>7.1483770088177412E-2</v>
      </c>
      <c r="F125" s="35">
        <v>0.11130720695465489</v>
      </c>
      <c r="G125" s="35">
        <v>0.16739073149420411</v>
      </c>
      <c r="H125" s="35">
        <v>-0.10705274648365358</v>
      </c>
      <c r="I125" s="35">
        <v>7.002653750283433E-2</v>
      </c>
      <c r="J125" s="35">
        <v>4.5824095113646629E-2</v>
      </c>
      <c r="K125" s="35">
        <v>0.15237864208358567</v>
      </c>
    </row>
    <row r="126" spans="1:11" x14ac:dyDescent="0.2">
      <c r="A126" s="33">
        <v>42908</v>
      </c>
      <c r="B126" s="35">
        <v>0.12410729780885797</v>
      </c>
      <c r="C126" s="35">
        <v>0.23044905565793417</v>
      </c>
      <c r="D126" s="35">
        <v>0.32182926347359248</v>
      </c>
      <c r="E126" s="35">
        <v>0.12526200165675774</v>
      </c>
      <c r="F126" s="35">
        <v>0.16186848067672222</v>
      </c>
      <c r="G126" s="35">
        <v>0.18310425105627051</v>
      </c>
      <c r="H126" s="35">
        <v>0.30564533882948852</v>
      </c>
      <c r="I126" s="35">
        <v>0.13835567753973968</v>
      </c>
      <c r="J126" s="35">
        <v>0.1393607178540022</v>
      </c>
      <c r="K126" s="35">
        <v>0.21650820984593155</v>
      </c>
    </row>
    <row r="127" spans="1:11" x14ac:dyDescent="0.2">
      <c r="A127" s="33">
        <v>42909</v>
      </c>
      <c r="B127" s="35">
        <v>0.18415003997190488</v>
      </c>
      <c r="C127" s="35">
        <v>8.8008905031671469E-2</v>
      </c>
      <c r="D127" s="35">
        <v>0.2212973076899695</v>
      </c>
      <c r="E127" s="35">
        <v>0.11747112242670402</v>
      </c>
      <c r="F127" s="35">
        <v>0.15133754099468585</v>
      </c>
      <c r="G127" s="35">
        <v>0.14210298176299604</v>
      </c>
      <c r="H127" s="35">
        <v>0.22367746040438535</v>
      </c>
      <c r="I127" s="35">
        <v>0.23070052183200868</v>
      </c>
      <c r="J127" s="35">
        <v>0.1788342519512176</v>
      </c>
      <c r="K127" s="35">
        <v>0.29491028566224065</v>
      </c>
    </row>
    <row r="128" spans="1:11" x14ac:dyDescent="0.2">
      <c r="A128" s="33">
        <v>42912</v>
      </c>
      <c r="B128" s="35">
        <v>0.12845113709219544</v>
      </c>
      <c r="C128" s="35">
        <v>0.14144817870591261</v>
      </c>
      <c r="D128" s="35">
        <v>0.24541197809791079</v>
      </c>
      <c r="E128" s="35">
        <v>0.14758221690682274</v>
      </c>
      <c r="F128" s="35">
        <v>0.18499711070469146</v>
      </c>
      <c r="G128" s="35">
        <v>0.19758626061868093</v>
      </c>
      <c r="H128" s="35">
        <v>0.15664304330343382</v>
      </c>
      <c r="I128" s="35">
        <v>5.4078425961206237E-3</v>
      </c>
      <c r="J128" s="35">
        <v>9.8845006495169654E-2</v>
      </c>
      <c r="K128" s="35">
        <v>0.10809424637700052</v>
      </c>
    </row>
    <row r="129" spans="1:11" x14ac:dyDescent="0.2">
      <c r="A129" s="33">
        <v>42913</v>
      </c>
      <c r="B129" s="35">
        <v>0.11134982957484167</v>
      </c>
      <c r="C129" s="35">
        <v>7.754372164798963E-2</v>
      </c>
      <c r="D129" s="35">
        <v>0.16105516711862192</v>
      </c>
      <c r="E129" s="35">
        <v>9.0781623708904816E-2</v>
      </c>
      <c r="F129" s="35">
        <v>0.13289155584911821</v>
      </c>
      <c r="G129" s="35">
        <v>0.1543625034638961</v>
      </c>
      <c r="H129" s="35">
        <v>7.9247527559015082E-3</v>
      </c>
      <c r="I129" s="35">
        <v>2.3097280016801409E-2</v>
      </c>
      <c r="J129" s="35">
        <v>8.063726459117386E-2</v>
      </c>
      <c r="K129" s="35">
        <v>0.10688254204489994</v>
      </c>
    </row>
    <row r="130" spans="1:11" x14ac:dyDescent="0.2">
      <c r="A130" s="33">
        <v>42914</v>
      </c>
      <c r="B130" s="35">
        <v>0.15484764252537039</v>
      </c>
      <c r="C130" s="35">
        <v>0.21015720585363643</v>
      </c>
      <c r="D130" s="35">
        <v>0.24409215636666962</v>
      </c>
      <c r="E130" s="35">
        <v>0.23358569688865535</v>
      </c>
      <c r="F130" s="35">
        <v>0.26938189221675024</v>
      </c>
      <c r="G130" s="35">
        <v>0.17658796276973479</v>
      </c>
      <c r="H130" s="35">
        <v>0.15713741353797953</v>
      </c>
      <c r="I130" s="35">
        <v>0.18425590474943718</v>
      </c>
      <c r="J130" s="35">
        <v>6.5582882981943452E-2</v>
      </c>
      <c r="K130" s="35">
        <v>0.25961918760958075</v>
      </c>
    </row>
    <row r="131" spans="1:11" x14ac:dyDescent="0.2">
      <c r="A131" s="33">
        <v>42915</v>
      </c>
      <c r="B131" s="35">
        <v>0.1657095968215784</v>
      </c>
      <c r="C131" s="35">
        <v>0.10488445120071907</v>
      </c>
      <c r="D131" s="35">
        <v>0.28631369485163771</v>
      </c>
      <c r="E131" s="35">
        <v>0.18715398620878879</v>
      </c>
      <c r="F131" s="35">
        <v>0.22456334179559875</v>
      </c>
      <c r="G131" s="35">
        <v>0.17860963176120054</v>
      </c>
      <c r="H131" s="35">
        <v>1.2495513043003635E-2</v>
      </c>
      <c r="I131" s="35">
        <v>6.7581537311421483E-2</v>
      </c>
      <c r="J131" s="35">
        <v>9.3898574981733623E-2</v>
      </c>
      <c r="K131" s="35">
        <v>0.13846696950894213</v>
      </c>
    </row>
    <row r="132" spans="1:11" x14ac:dyDescent="0.2">
      <c r="A132" s="33">
        <v>42916</v>
      </c>
      <c r="B132" s="35">
        <v>0.13104611102464503</v>
      </c>
      <c r="C132" s="35">
        <v>0.10859483242230811</v>
      </c>
      <c r="D132" s="35">
        <v>0.13093577755406149</v>
      </c>
      <c r="E132" s="35">
        <v>0.12792445339265104</v>
      </c>
      <c r="F132" s="35">
        <v>0.16570764711856406</v>
      </c>
      <c r="G132" s="35">
        <v>0.13574048735489203</v>
      </c>
      <c r="H132" s="35">
        <v>6.6776866707059512E-2</v>
      </c>
      <c r="I132" s="35">
        <v>-3.9266210387688502E-2</v>
      </c>
      <c r="J132" s="35">
        <v>-4.7270794358840644E-3</v>
      </c>
      <c r="K132" s="35">
        <v>5.1571114952235944E-2</v>
      </c>
    </row>
    <row r="133" spans="1:11" x14ac:dyDescent="0.2">
      <c r="A133" s="33">
        <v>42919</v>
      </c>
      <c r="B133" s="35">
        <v>0.18733201362265617</v>
      </c>
      <c r="C133" s="35">
        <v>-4.7133706984427592E-2</v>
      </c>
      <c r="D133" s="35">
        <v>0.29533150457398066</v>
      </c>
      <c r="E133" s="35">
        <v>0.10229951505726087</v>
      </c>
      <c r="F133" s="35">
        <v>0.13901322061948418</v>
      </c>
      <c r="G133" s="35">
        <v>0.19808852232425281</v>
      </c>
      <c r="H133" s="35">
        <v>-7.8850643679335225E-2</v>
      </c>
      <c r="I133" s="35">
        <v>-0.17791401876496166</v>
      </c>
      <c r="J133" s="35">
        <v>-5.3064653129083802E-2</v>
      </c>
      <c r="K133" s="35">
        <v>-6.3554785587938575E-2</v>
      </c>
    </row>
    <row r="134" spans="1:11" x14ac:dyDescent="0.2">
      <c r="A134" s="33">
        <v>42920</v>
      </c>
      <c r="B134" s="35">
        <v>8.7166746332673059E-2</v>
      </c>
      <c r="C134" s="35">
        <v>0.13405238333127809</v>
      </c>
      <c r="D134" s="35">
        <v>7.7312237941515982E-2</v>
      </c>
      <c r="E134" s="35">
        <v>7.5022494763560127E-2</v>
      </c>
      <c r="F134" s="35">
        <v>0.10926647340822591</v>
      </c>
      <c r="G134" s="35">
        <v>0.12336190168394773</v>
      </c>
      <c r="H134" s="35">
        <v>0.16139515570838883</v>
      </c>
      <c r="I134" s="35">
        <v>0.18776107183589047</v>
      </c>
      <c r="J134" s="35">
        <v>8.0153402432611376E-2</v>
      </c>
      <c r="K134" s="35">
        <v>0.26625059252804756</v>
      </c>
    </row>
    <row r="135" spans="1:11" x14ac:dyDescent="0.2">
      <c r="A135" s="33">
        <v>42921</v>
      </c>
      <c r="B135" s="35">
        <v>4.2211186953005049E-3</v>
      </c>
      <c r="C135" s="35">
        <v>0.23210205152928987</v>
      </c>
      <c r="D135" s="35">
        <v>0.15087085856793264</v>
      </c>
      <c r="E135" s="35">
        <v>0.15849684794521438</v>
      </c>
      <c r="F135" s="35">
        <v>0.20927817162632026</v>
      </c>
      <c r="G135" s="35">
        <v>0.18541267087800273</v>
      </c>
      <c r="H135" s="35">
        <v>8.5975279935654195E-2</v>
      </c>
      <c r="I135" s="35">
        <v>0.12565510619873482</v>
      </c>
      <c r="J135" s="35">
        <v>9.5294527236125623E-2</v>
      </c>
      <c r="K135" s="35">
        <v>0.20544111707387627</v>
      </c>
    </row>
    <row r="136" spans="1:11" x14ac:dyDescent="0.2">
      <c r="A136" s="33">
        <v>42922</v>
      </c>
      <c r="B136" s="35">
        <v>0.18560661569040779</v>
      </c>
      <c r="C136" s="35">
        <v>0.28093683050122931</v>
      </c>
      <c r="D136" s="35">
        <v>0.16882261090057177</v>
      </c>
      <c r="E136" s="35">
        <v>0.24528071922709754</v>
      </c>
      <c r="F136" s="35">
        <v>0.28304942785285669</v>
      </c>
      <c r="G136" s="35">
        <v>0.1488399585080091</v>
      </c>
      <c r="H136" s="35">
        <v>0.30908228381038849</v>
      </c>
      <c r="I136" s="35">
        <v>0.28780496204149303</v>
      </c>
      <c r="J136" s="35">
        <v>0.13282663202046038</v>
      </c>
      <c r="K136" s="35">
        <v>0.3555708638261747</v>
      </c>
    </row>
    <row r="137" spans="1:11" x14ac:dyDescent="0.2">
      <c r="A137" s="33">
        <v>42923</v>
      </c>
      <c r="B137" s="35">
        <v>0.23628797997805631</v>
      </c>
      <c r="C137" s="35">
        <v>0.13358810478090155</v>
      </c>
      <c r="D137" s="35">
        <v>0.12992366592345786</v>
      </c>
      <c r="E137" s="35">
        <v>8.9041349114138552E-2</v>
      </c>
      <c r="F137" s="35">
        <v>0.12602694698463782</v>
      </c>
      <c r="G137" s="35">
        <v>0.12210146030714056</v>
      </c>
      <c r="H137" s="35">
        <v>9.4918668655203334E-2</v>
      </c>
      <c r="I137" s="35">
        <v>8.1944273241993063E-2</v>
      </c>
      <c r="J137" s="35">
        <v>0.1286236333152074</v>
      </c>
      <c r="K137" s="35">
        <v>0.17737783508280985</v>
      </c>
    </row>
    <row r="138" spans="1:11" x14ac:dyDescent="0.2">
      <c r="A138" s="33">
        <v>42926</v>
      </c>
      <c r="B138" s="35">
        <v>0.20145822319524578</v>
      </c>
      <c r="C138" s="35">
        <v>0.11509518432332805</v>
      </c>
      <c r="D138" s="35">
        <v>0.2581721763909085</v>
      </c>
      <c r="E138" s="35">
        <v>0.18048521744448273</v>
      </c>
      <c r="F138" s="35">
        <v>0.21621660596947676</v>
      </c>
      <c r="G138" s="35">
        <v>0.17511391330601062</v>
      </c>
      <c r="H138" s="35">
        <v>-2.5290657552907998E-2</v>
      </c>
      <c r="I138" s="35">
        <v>3.3027296928877244E-2</v>
      </c>
      <c r="J138" s="35">
        <v>1.1471283617320624E-2</v>
      </c>
      <c r="K138" s="35">
        <v>0.11198048630754005</v>
      </c>
    </row>
    <row r="139" spans="1:11" x14ac:dyDescent="0.2">
      <c r="A139" s="33">
        <v>42927</v>
      </c>
      <c r="B139" s="35">
        <v>0.26772253780879368</v>
      </c>
      <c r="C139" s="35">
        <v>0.27413791859764175</v>
      </c>
      <c r="D139" s="35">
        <v>0.26994970587563599</v>
      </c>
      <c r="E139" s="35">
        <v>0.23647699970033223</v>
      </c>
      <c r="F139" s="35">
        <v>0.28581298690744966</v>
      </c>
      <c r="G139" s="35">
        <v>0.13259480567729878</v>
      </c>
      <c r="H139" s="35">
        <v>0.25927370495676788</v>
      </c>
      <c r="I139" s="35">
        <v>0.13960352044162161</v>
      </c>
      <c r="J139" s="35">
        <v>7.1104792947633819E-2</v>
      </c>
      <c r="K139" s="35">
        <v>0.21837076336810768</v>
      </c>
    </row>
    <row r="140" spans="1:11" x14ac:dyDescent="0.2">
      <c r="A140" s="33">
        <v>42928</v>
      </c>
      <c r="B140" s="35">
        <v>4.711774079025937E-2</v>
      </c>
      <c r="C140" s="35">
        <v>2.6017100250059464E-2</v>
      </c>
      <c r="D140" s="35">
        <v>-3.3909955584816652E-2</v>
      </c>
      <c r="E140" s="35">
        <v>-1.3296309591924083E-3</v>
      </c>
      <c r="F140" s="35">
        <v>4.3382713793293594E-2</v>
      </c>
      <c r="G140" s="35">
        <v>0.10978641514542482</v>
      </c>
      <c r="H140" s="35">
        <v>3.2647007241555254E-2</v>
      </c>
      <c r="I140" s="35">
        <v>0.10823929472934389</v>
      </c>
      <c r="J140" s="35">
        <v>9.2255438343285992E-2</v>
      </c>
      <c r="K140" s="35">
        <v>0.20114228717139024</v>
      </c>
    </row>
    <row r="141" spans="1:11" x14ac:dyDescent="0.2">
      <c r="A141" s="33">
        <v>42929</v>
      </c>
      <c r="B141" s="35">
        <v>0.31197107451861661</v>
      </c>
      <c r="C141" s="35">
        <v>7.7235976730899186E-2</v>
      </c>
      <c r="D141" s="35">
        <v>-4.1075253167366918E-2</v>
      </c>
      <c r="E141" s="35">
        <v>4.9491634116650113E-2</v>
      </c>
      <c r="F141" s="35">
        <v>8.1666057742841414E-2</v>
      </c>
      <c r="G141" s="35">
        <v>0.10821884934446883</v>
      </c>
      <c r="H141" s="35">
        <v>4.8107862369199048E-2</v>
      </c>
      <c r="I141" s="35">
        <v>8.3685073979909999E-2</v>
      </c>
      <c r="J141" s="35">
        <v>0.11519009305937665</v>
      </c>
      <c r="K141" s="35">
        <v>0.1753138826306552</v>
      </c>
    </row>
    <row r="142" spans="1:11" x14ac:dyDescent="0.2">
      <c r="A142" s="33">
        <v>42930</v>
      </c>
      <c r="B142" s="35">
        <v>8.1480752339968283E-3</v>
      </c>
      <c r="C142" s="35">
        <v>-4.2080508703445804E-2</v>
      </c>
      <c r="D142" s="35">
        <v>3.9067638122527995E-3</v>
      </c>
      <c r="E142" s="35">
        <v>-5.7393057024731207E-2</v>
      </c>
      <c r="F142" s="35">
        <v>-1.7216662067723602E-2</v>
      </c>
      <c r="G142" s="35">
        <v>8.5377473531480633E-2</v>
      </c>
      <c r="H142" s="35">
        <v>3.0353406195041625E-3</v>
      </c>
      <c r="I142" s="35">
        <v>-1.448200164170549E-2</v>
      </c>
      <c r="J142" s="35">
        <v>3.2662759498247387E-2</v>
      </c>
      <c r="K142" s="35">
        <v>9.8945854819076848E-2</v>
      </c>
    </row>
    <row r="143" spans="1:11" x14ac:dyDescent="0.2">
      <c r="A143" s="33">
        <v>42933</v>
      </c>
      <c r="B143" s="35">
        <v>0.25876774163136923</v>
      </c>
      <c r="C143" s="35">
        <v>0.25667709680398598</v>
      </c>
      <c r="D143" s="35">
        <v>0.20564909525382763</v>
      </c>
      <c r="E143" s="35">
        <v>0.21010240662686863</v>
      </c>
      <c r="F143" s="35">
        <v>0.25251892402109755</v>
      </c>
      <c r="G143" s="35">
        <v>0.16258932243029839</v>
      </c>
      <c r="H143" s="35">
        <v>-7.8239625855763498E-3</v>
      </c>
      <c r="I143" s="35">
        <v>0.11570630071921388</v>
      </c>
      <c r="J143" s="35">
        <v>9.2205365844778051E-2</v>
      </c>
      <c r="K143" s="35">
        <v>0.20052430809727523</v>
      </c>
    </row>
    <row r="144" spans="1:11" x14ac:dyDescent="0.2">
      <c r="A144" s="33">
        <v>42934</v>
      </c>
      <c r="B144" s="35">
        <v>0.36725172622324115</v>
      </c>
      <c r="C144" s="35">
        <v>0.31002901405178113</v>
      </c>
      <c r="D144" s="35">
        <v>0.42732038549472928</v>
      </c>
      <c r="E144" s="35">
        <v>0.32270259290357761</v>
      </c>
      <c r="F144" s="35">
        <v>0.35996018361400989</v>
      </c>
      <c r="G144" s="35">
        <v>0.19831922865267251</v>
      </c>
      <c r="H144" s="35">
        <v>8.6819897084713007E-2</v>
      </c>
      <c r="I144" s="35">
        <v>0.16318192092210007</v>
      </c>
      <c r="J144" s="35">
        <v>0.12121588999605791</v>
      </c>
      <c r="K144" s="35">
        <v>0.24341646194097943</v>
      </c>
    </row>
    <row r="145" spans="1:11" x14ac:dyDescent="0.2">
      <c r="A145" s="33">
        <v>42935</v>
      </c>
      <c r="B145" s="35">
        <v>0.21862801203323509</v>
      </c>
      <c r="C145" s="35">
        <v>-1.7786142129809734E-2</v>
      </c>
      <c r="D145" s="35">
        <v>-0.10291204738845819</v>
      </c>
      <c r="E145" s="35">
        <v>1.3305148718202658E-3</v>
      </c>
      <c r="F145" s="35">
        <v>3.2112853954780141E-2</v>
      </c>
      <c r="G145" s="35">
        <v>7.9231769463704818E-2</v>
      </c>
      <c r="H145" s="35">
        <v>-0.12710733877498515</v>
      </c>
      <c r="I145" s="35">
        <v>8.0284040276789523E-2</v>
      </c>
      <c r="J145" s="35">
        <v>3.7996073633176849E-2</v>
      </c>
      <c r="K145" s="35">
        <v>0.16689395396709014</v>
      </c>
    </row>
    <row r="146" spans="1:11" x14ac:dyDescent="0.2">
      <c r="A146" s="33">
        <v>42936</v>
      </c>
      <c r="B146" s="35">
        <v>0.24876170560061175</v>
      </c>
      <c r="C146" s="35">
        <v>0.23662072758894007</v>
      </c>
      <c r="D146" s="35">
        <v>8.7990657099943151E-2</v>
      </c>
      <c r="E146" s="35">
        <v>0.19417844302705264</v>
      </c>
      <c r="F146" s="35">
        <v>0.23137834677758101</v>
      </c>
      <c r="G146" s="35">
        <v>0.15463111823707912</v>
      </c>
      <c r="H146" s="35">
        <v>0.14040727665632527</v>
      </c>
      <c r="I146" s="35">
        <v>0.19667934745755491</v>
      </c>
      <c r="J146" s="35">
        <v>6.3278986757004912E-2</v>
      </c>
      <c r="K146" s="35">
        <v>0.27832984727184301</v>
      </c>
    </row>
    <row r="147" spans="1:11" x14ac:dyDescent="0.2">
      <c r="A147" s="33">
        <v>42937</v>
      </c>
      <c r="B147" s="35">
        <v>0.17314080364550935</v>
      </c>
      <c r="C147" s="35">
        <v>-8.5119949956163371E-2</v>
      </c>
      <c r="D147" s="35">
        <v>0.10670253657823305</v>
      </c>
      <c r="E147" s="35">
        <v>3.139130698058578E-2</v>
      </c>
      <c r="F147" s="35">
        <v>6.8604132546120675E-2</v>
      </c>
      <c r="G147" s="35">
        <v>0.11031177631663656</v>
      </c>
      <c r="H147" s="35">
        <v>-0.11465956438272087</v>
      </c>
      <c r="I147" s="35">
        <v>-8.6555823887566566E-2</v>
      </c>
      <c r="J147" s="35">
        <v>2.467030075737571E-2</v>
      </c>
      <c r="K147" s="35">
        <v>1.6334064842451902E-2</v>
      </c>
    </row>
    <row r="148" spans="1:11" x14ac:dyDescent="0.2">
      <c r="A148" s="33">
        <v>42940</v>
      </c>
      <c r="B148" s="35">
        <v>5.863029094937712E-2</v>
      </c>
      <c r="C148" s="35">
        <v>0.14542656271167903</v>
      </c>
      <c r="D148" s="35">
        <v>3.1062449779765546E-2</v>
      </c>
      <c r="E148" s="35">
        <v>5.0904466395021525E-2</v>
      </c>
      <c r="F148" s="35">
        <v>8.9153263445006889E-2</v>
      </c>
      <c r="G148" s="35">
        <v>0.10854495206122633</v>
      </c>
      <c r="H148" s="35">
        <v>6.7126862038560026E-2</v>
      </c>
      <c r="I148" s="35">
        <v>9.264005794337947E-2</v>
      </c>
      <c r="J148" s="35">
        <v>3.8707532810530347E-2</v>
      </c>
      <c r="K148" s="35">
        <v>0.18827354588178999</v>
      </c>
    </row>
    <row r="149" spans="1:11" x14ac:dyDescent="0.2">
      <c r="A149" s="33">
        <v>42941</v>
      </c>
      <c r="B149" s="35">
        <v>0.23015202455077308</v>
      </c>
      <c r="C149" s="35">
        <v>0.28329589872350364</v>
      </c>
      <c r="D149" s="35">
        <v>0.32585705888792554</v>
      </c>
      <c r="E149" s="35">
        <v>0.20706316647614859</v>
      </c>
      <c r="F149" s="35">
        <v>0.24476360749456963</v>
      </c>
      <c r="G149" s="35">
        <v>0.16689274732938744</v>
      </c>
      <c r="H149" s="35">
        <v>0.17213136275145802</v>
      </c>
      <c r="I149" s="35">
        <v>0.14799118255569774</v>
      </c>
      <c r="J149" s="35">
        <v>0.11788020288207846</v>
      </c>
      <c r="K149" s="35">
        <v>0.22549717055870769</v>
      </c>
    </row>
    <row r="150" spans="1:11" x14ac:dyDescent="0.2">
      <c r="A150" s="33">
        <v>42942</v>
      </c>
      <c r="B150" s="35">
        <v>0.22905627957289693</v>
      </c>
      <c r="C150" s="35">
        <v>0.23010773101534598</v>
      </c>
      <c r="D150" s="35">
        <v>0.32256441419694326</v>
      </c>
      <c r="E150" s="35">
        <v>0.16097138768674427</v>
      </c>
      <c r="F150" s="35">
        <v>0.20667761182423147</v>
      </c>
      <c r="G150" s="35">
        <v>0.16599488497955975</v>
      </c>
      <c r="H150" s="35">
        <v>0.15845373822402425</v>
      </c>
      <c r="I150" s="35">
        <v>6.9869104228977019E-2</v>
      </c>
      <c r="J150" s="35">
        <v>0.10363091338949632</v>
      </c>
      <c r="K150" s="35">
        <v>0.16186319075573044</v>
      </c>
    </row>
    <row r="151" spans="1:11" x14ac:dyDescent="0.2">
      <c r="A151" s="33">
        <v>42943</v>
      </c>
      <c r="B151" s="35">
        <v>0.1623013932398881</v>
      </c>
      <c r="C151" s="35">
        <v>4.33235035187296E-2</v>
      </c>
      <c r="D151" s="35">
        <v>-5.101067612692866E-2</v>
      </c>
      <c r="E151" s="35">
        <v>1.0617237887812206E-2</v>
      </c>
      <c r="F151" s="35">
        <v>5.0843305353108895E-2</v>
      </c>
      <c r="G151" s="35">
        <v>0.10072940821914984</v>
      </c>
      <c r="H151" s="35">
        <v>1.066492753366396E-2</v>
      </c>
      <c r="I151" s="35">
        <v>2.9413952513033307E-2</v>
      </c>
      <c r="J151" s="35">
        <v>3.6674648601432894E-2</v>
      </c>
      <c r="K151" s="35">
        <v>0.12604300485789444</v>
      </c>
    </row>
    <row r="152" spans="1:11" x14ac:dyDescent="0.2">
      <c r="A152" s="33">
        <v>42944</v>
      </c>
      <c r="B152" s="35">
        <v>0.10302535552309691</v>
      </c>
      <c r="C152" s="35">
        <v>3.3262350822100585E-2</v>
      </c>
      <c r="D152" s="35">
        <v>0.1912785580155415</v>
      </c>
      <c r="E152" s="35">
        <v>5.7289067214469365E-2</v>
      </c>
      <c r="F152" s="35">
        <v>9.787894209274052E-2</v>
      </c>
      <c r="G152" s="35">
        <v>0.15132723332421141</v>
      </c>
      <c r="H152" s="35">
        <v>0.12521863507619982</v>
      </c>
      <c r="I152" s="35">
        <v>3.7062310664994352E-2</v>
      </c>
      <c r="J152" s="35">
        <v>3.1324012874783362E-2</v>
      </c>
      <c r="K152" s="35">
        <v>0.11579172032509619</v>
      </c>
    </row>
    <row r="153" spans="1:11" x14ac:dyDescent="0.2">
      <c r="A153" s="33">
        <v>42947</v>
      </c>
      <c r="B153" s="35">
        <v>0.33807381525542224</v>
      </c>
      <c r="C153" s="35">
        <v>0.16265531335197486</v>
      </c>
      <c r="D153" s="35">
        <v>0.19409325503885677</v>
      </c>
      <c r="E153" s="35">
        <v>0.15989248541332848</v>
      </c>
      <c r="F153" s="35">
        <v>0.19712891280194506</v>
      </c>
      <c r="G153" s="35">
        <v>0.12787819567221029</v>
      </c>
      <c r="H153" s="35">
        <v>0.16540505735895764</v>
      </c>
      <c r="I153" s="35">
        <v>0.15751083042457245</v>
      </c>
      <c r="J153" s="35">
        <v>7.5459507609454052E-2</v>
      </c>
      <c r="K153" s="35">
        <v>0.21969883900548445</v>
      </c>
    </row>
    <row r="154" spans="1:11" x14ac:dyDescent="0.2">
      <c r="A154" s="33">
        <v>42948</v>
      </c>
      <c r="B154" s="35">
        <v>0.19215406345331468</v>
      </c>
      <c r="C154" s="35">
        <v>3.6813081970621823E-2</v>
      </c>
      <c r="D154" s="35">
        <v>0.15496693845799014</v>
      </c>
      <c r="E154" s="35">
        <v>7.9605194547582372E-2</v>
      </c>
      <c r="F154" s="35">
        <v>0.12024440764149651</v>
      </c>
      <c r="G154" s="35">
        <v>0.15494586119542536</v>
      </c>
      <c r="H154" s="35">
        <v>-6.3072669280026999E-2</v>
      </c>
      <c r="I154" s="35">
        <v>5.0496943095048819E-2</v>
      </c>
      <c r="J154" s="35">
        <v>6.5011928191252497E-2</v>
      </c>
      <c r="K154" s="35">
        <v>0.12948801207633115</v>
      </c>
    </row>
    <row r="155" spans="1:11" x14ac:dyDescent="0.2">
      <c r="A155" s="33">
        <v>42949</v>
      </c>
      <c r="B155" s="35">
        <v>0.3396591316521041</v>
      </c>
      <c r="C155" s="35">
        <v>8.9580463473058494E-2</v>
      </c>
      <c r="D155" s="35">
        <v>-1.5037847420915625E-2</v>
      </c>
      <c r="E155" s="35">
        <v>5.5034302147708013E-2</v>
      </c>
      <c r="F155" s="35">
        <v>8.806576940177302E-2</v>
      </c>
      <c r="G155" s="35">
        <v>8.6214459062767465E-2</v>
      </c>
      <c r="H155" s="35">
        <v>-3.6446349656937521E-2</v>
      </c>
      <c r="I155" s="35">
        <v>-4.8051666865499285E-3</v>
      </c>
      <c r="J155" s="35">
        <v>2.814879789027187E-2</v>
      </c>
      <c r="K155" s="35">
        <v>8.8006749949881335E-2</v>
      </c>
    </row>
    <row r="156" spans="1:11" x14ac:dyDescent="0.2">
      <c r="A156" s="33">
        <v>42950</v>
      </c>
      <c r="B156" s="35">
        <v>-8.7220490504108406E-2</v>
      </c>
      <c r="C156" s="35">
        <v>3.06519891931556E-2</v>
      </c>
      <c r="D156" s="35">
        <v>0.29536358537837154</v>
      </c>
      <c r="E156" s="35">
        <v>6.7010377302949495E-2</v>
      </c>
      <c r="F156" s="35">
        <v>0.11700572623930094</v>
      </c>
      <c r="G156" s="35">
        <v>0.19917865150684022</v>
      </c>
      <c r="H156" s="35">
        <v>-1.8099318979956029E-2</v>
      </c>
      <c r="I156" s="35">
        <v>-1.6983994928287224E-2</v>
      </c>
      <c r="J156" s="35">
        <v>7.2192196643259127E-3</v>
      </c>
      <c r="K156" s="35">
        <v>7.6912535196194468E-2</v>
      </c>
    </row>
    <row r="157" spans="1:11" x14ac:dyDescent="0.2">
      <c r="A157" s="33">
        <v>42951</v>
      </c>
      <c r="B157" s="35">
        <v>-9.0754262305909092E-2</v>
      </c>
      <c r="C157" s="35">
        <v>-0.22808921328494347</v>
      </c>
      <c r="D157" s="35">
        <v>-0.13076522800709747</v>
      </c>
      <c r="E157" s="35">
        <v>-0.14785145181706352</v>
      </c>
      <c r="F157" s="35">
        <v>-0.11778477924466961</v>
      </c>
      <c r="G157" s="35">
        <v>8.7091985034939631E-2</v>
      </c>
      <c r="H157" s="35">
        <v>-0.20056293684730636</v>
      </c>
      <c r="I157" s="35">
        <v>3.5002260033177322E-2</v>
      </c>
      <c r="J157" s="35">
        <v>2.1115002014662407E-2</v>
      </c>
      <c r="K157" s="35">
        <v>0.12079804699522116</v>
      </c>
    </row>
    <row r="158" spans="1:11" x14ac:dyDescent="0.2">
      <c r="A158" s="33">
        <v>42954</v>
      </c>
      <c r="B158" s="35">
        <v>0.24049434162761271</v>
      </c>
      <c r="C158" s="35">
        <v>0.23962040901926701</v>
      </c>
      <c r="D158" s="35">
        <v>0.38994403700324709</v>
      </c>
      <c r="E158" s="35">
        <v>0.21645083401103415</v>
      </c>
      <c r="F158" s="35">
        <v>0.25769422404863823</v>
      </c>
      <c r="G158" s="35">
        <v>0.176284839939785</v>
      </c>
      <c r="H158" s="35">
        <v>0.20970987381428804</v>
      </c>
      <c r="I158" s="35">
        <v>0.13111659425793393</v>
      </c>
      <c r="J158" s="35">
        <v>0.13263378083854682</v>
      </c>
      <c r="K158" s="35">
        <v>0.21632267848882233</v>
      </c>
    </row>
    <row r="159" spans="1:11" x14ac:dyDescent="0.2">
      <c r="A159" s="33">
        <v>42955</v>
      </c>
      <c r="B159" s="35">
        <v>0.35433436654918998</v>
      </c>
      <c r="C159" s="35">
        <v>0.3545975702260345</v>
      </c>
      <c r="D159" s="35">
        <v>0.3254527966498329</v>
      </c>
      <c r="E159" s="35">
        <v>0.27012454965846011</v>
      </c>
      <c r="F159" s="35">
        <v>0.31657633697472481</v>
      </c>
      <c r="G159" s="35">
        <v>0.14351189804640505</v>
      </c>
      <c r="H159" s="35">
        <v>0.3677872300500018</v>
      </c>
      <c r="I159" s="35">
        <v>0.25147618421924423</v>
      </c>
      <c r="J159" s="35">
        <v>0.13899279026881092</v>
      </c>
      <c r="K159" s="35">
        <v>0.31639068749087917</v>
      </c>
    </row>
    <row r="160" spans="1:11" x14ac:dyDescent="0.2">
      <c r="A160" s="33">
        <v>42956</v>
      </c>
      <c r="B160" s="35">
        <v>-0.10076906828683992</v>
      </c>
      <c r="C160" s="35">
        <v>-6.7190447077022056E-2</v>
      </c>
      <c r="D160" s="35">
        <v>0.22439417500843784</v>
      </c>
      <c r="E160" s="35">
        <v>1.5754637792925161E-2</v>
      </c>
      <c r="F160" s="35">
        <v>6.5723798083669543E-2</v>
      </c>
      <c r="G160" s="35">
        <v>0.12915477285365759</v>
      </c>
      <c r="H160" s="35">
        <v>6.1953417469638075E-2</v>
      </c>
      <c r="I160" s="35">
        <v>-1.8583539860032607E-2</v>
      </c>
      <c r="J160" s="35">
        <v>-1.4592287713140967E-2</v>
      </c>
      <c r="K160" s="35">
        <v>6.097255459961682E-2</v>
      </c>
    </row>
    <row r="161" spans="1:11" x14ac:dyDescent="0.2">
      <c r="A161" s="33">
        <v>42957</v>
      </c>
      <c r="B161" s="35">
        <v>0.14936447519534096</v>
      </c>
      <c r="C161" s="35">
        <v>0.10015423586382791</v>
      </c>
      <c r="D161" s="35">
        <v>0.12219034652461992</v>
      </c>
      <c r="E161" s="35">
        <v>0.10129069217980764</v>
      </c>
      <c r="F161" s="35">
        <v>0.13503958383439707</v>
      </c>
      <c r="G161" s="35">
        <v>0.15965203798715194</v>
      </c>
      <c r="H161" s="35">
        <v>7.6846522571622097E-2</v>
      </c>
      <c r="I161" s="35">
        <v>-4.2024025540889035E-2</v>
      </c>
      <c r="J161" s="35">
        <v>7.7923953965996301E-2</v>
      </c>
      <c r="K161" s="35">
        <v>6.4610999490612706E-2</v>
      </c>
    </row>
    <row r="162" spans="1:11" x14ac:dyDescent="0.2">
      <c r="A162" s="33">
        <v>42958</v>
      </c>
      <c r="B162" s="35">
        <v>0.20692822580450096</v>
      </c>
      <c r="C162" s="35">
        <v>0.13382104726685631</v>
      </c>
      <c r="D162" s="35">
        <v>0.24167194900668879</v>
      </c>
      <c r="E162" s="35">
        <v>0.19891616630925371</v>
      </c>
      <c r="F162" s="35">
        <v>0.22737371845942825</v>
      </c>
      <c r="G162" s="35">
        <v>0.13802366385639409</v>
      </c>
      <c r="H162" s="35">
        <v>6.5332900145321823E-2</v>
      </c>
      <c r="I162" s="35">
        <v>4.6775087683546102E-2</v>
      </c>
      <c r="J162" s="35">
        <v>0.10005211765894968</v>
      </c>
      <c r="K162" s="35">
        <v>0.13994945331402234</v>
      </c>
    </row>
    <row r="163" spans="1:11" x14ac:dyDescent="0.2">
      <c r="A163" s="33">
        <v>42961</v>
      </c>
      <c r="B163" s="35">
        <v>-5.6992269103061065E-2</v>
      </c>
      <c r="C163" s="35">
        <v>4.7094924706725999E-3</v>
      </c>
      <c r="D163" s="35">
        <v>9.4859340684616197E-2</v>
      </c>
      <c r="E163" s="35">
        <v>3.4932019936912015E-2</v>
      </c>
      <c r="F163" s="35">
        <v>7.7476419753230427E-2</v>
      </c>
      <c r="G163" s="35">
        <v>0.15719237753272369</v>
      </c>
      <c r="H163" s="35">
        <v>-5.7596716918649673E-3</v>
      </c>
      <c r="I163" s="35">
        <v>-4.2631732187110791E-2</v>
      </c>
      <c r="J163" s="35">
        <v>1.1723427853281706E-2</v>
      </c>
      <c r="K163" s="35">
        <v>4.8318933525420424E-2</v>
      </c>
    </row>
    <row r="164" spans="1:11" x14ac:dyDescent="0.2">
      <c r="A164" s="33">
        <v>42962</v>
      </c>
      <c r="B164" s="35">
        <v>0.22768065833796503</v>
      </c>
      <c r="C164" s="35">
        <v>0.19228217221366489</v>
      </c>
      <c r="D164" s="35">
        <v>0.30084289910080986</v>
      </c>
      <c r="E164" s="35">
        <v>0.1978075964302061</v>
      </c>
      <c r="F164" s="35">
        <v>0.23309703585687533</v>
      </c>
      <c r="G164" s="35">
        <v>0.18230445062567691</v>
      </c>
      <c r="H164" s="35">
        <v>0.14965322245342999</v>
      </c>
      <c r="I164" s="35">
        <v>9.6986435927279888E-2</v>
      </c>
      <c r="J164" s="35">
        <v>0.14231373135247827</v>
      </c>
      <c r="K164" s="35">
        <v>0.18956502149613702</v>
      </c>
    </row>
    <row r="165" spans="1:11" x14ac:dyDescent="0.2">
      <c r="A165" s="33">
        <v>42963</v>
      </c>
      <c r="B165" s="35">
        <v>4.2332510824270191E-2</v>
      </c>
      <c r="C165" s="35">
        <v>8.8395029559055247E-2</v>
      </c>
      <c r="D165" s="35">
        <v>0.19849950956434717</v>
      </c>
      <c r="E165" s="35">
        <v>0.10000872980904177</v>
      </c>
      <c r="F165" s="35">
        <v>0.14890107963872626</v>
      </c>
      <c r="G165" s="35">
        <v>0.1694422668369332</v>
      </c>
      <c r="H165" s="35">
        <v>-8.3789498200542434E-2</v>
      </c>
      <c r="I165" s="35">
        <v>7.0044897622347821E-2</v>
      </c>
      <c r="J165" s="35">
        <v>2.7067988360569193E-3</v>
      </c>
      <c r="K165" s="35">
        <v>0.14697643835485327</v>
      </c>
    </row>
    <row r="166" spans="1:11" x14ac:dyDescent="0.2">
      <c r="A166" s="33">
        <v>42964</v>
      </c>
      <c r="B166" s="35">
        <v>0.1500697630200922</v>
      </c>
      <c r="C166" s="35">
        <v>0.10582596522183957</v>
      </c>
      <c r="D166" s="35">
        <v>0.2430235428802828</v>
      </c>
      <c r="E166" s="35">
        <v>0.14250062488083454</v>
      </c>
      <c r="F166" s="35">
        <v>0.1791429398743381</v>
      </c>
      <c r="G166" s="35">
        <v>0.16065057315372042</v>
      </c>
      <c r="H166" s="35">
        <v>0.15986751512320649</v>
      </c>
      <c r="I166" s="35">
        <v>-1.1326454640079902E-2</v>
      </c>
      <c r="J166" s="35">
        <v>6.5402107829662159E-2</v>
      </c>
      <c r="K166" s="35">
        <v>9.2266523055992367E-2</v>
      </c>
    </row>
    <row r="167" spans="1:11" x14ac:dyDescent="0.2">
      <c r="A167" s="33">
        <v>42965</v>
      </c>
      <c r="B167" s="35">
        <v>0.12098578097399386</v>
      </c>
      <c r="C167" s="35">
        <v>-7.5942332709762569E-2</v>
      </c>
      <c r="D167" s="35">
        <v>-4.7203628310658746E-2</v>
      </c>
      <c r="E167" s="35">
        <v>-7.1351084935645612E-2</v>
      </c>
      <c r="F167" s="35">
        <v>-3.1135138074102765E-2</v>
      </c>
      <c r="G167" s="35">
        <v>9.3463797147504218E-2</v>
      </c>
      <c r="H167" s="35">
        <v>9.5291269670239223E-2</v>
      </c>
      <c r="I167" s="35">
        <v>5.1279358627797769E-2</v>
      </c>
      <c r="J167" s="35">
        <v>5.0838019887679477E-2</v>
      </c>
      <c r="K167" s="35">
        <v>0.13408529453598395</v>
      </c>
    </row>
    <row r="168" spans="1:11" x14ac:dyDescent="0.2">
      <c r="A168" s="33">
        <v>42968</v>
      </c>
      <c r="B168" s="35">
        <v>-1.6687649992217241E-2</v>
      </c>
      <c r="C168" s="35">
        <v>-1.8927722532323749E-2</v>
      </c>
      <c r="D168" s="35">
        <v>0.194909699640646</v>
      </c>
      <c r="E168" s="35">
        <v>2.5647412672120427E-2</v>
      </c>
      <c r="F168" s="35">
        <v>6.9489994505585295E-2</v>
      </c>
      <c r="G168" s="35">
        <v>0.11285241084901482</v>
      </c>
      <c r="H168" s="35">
        <v>-3.6053402124726915E-2</v>
      </c>
      <c r="I168" s="35">
        <v>-3.8669451637736732E-2</v>
      </c>
      <c r="J168" s="35">
        <v>4.9372974965657783E-2</v>
      </c>
      <c r="K168" s="35">
        <v>5.2345463397663335E-2</v>
      </c>
    </row>
    <row r="169" spans="1:11" x14ac:dyDescent="0.2">
      <c r="A169" s="33">
        <v>42969</v>
      </c>
      <c r="B169" s="35">
        <v>6.6491649183752874E-2</v>
      </c>
      <c r="C169" s="35">
        <v>4.5686029298044467E-2</v>
      </c>
      <c r="D169" s="35">
        <v>0.19302599838177423</v>
      </c>
      <c r="E169" s="35">
        <v>4.5746955898783866E-2</v>
      </c>
      <c r="F169" s="35">
        <v>8.7651596969967702E-2</v>
      </c>
      <c r="G169" s="35">
        <v>0.12888157426671135</v>
      </c>
      <c r="H169" s="35">
        <v>-6.5535618365004059E-2</v>
      </c>
      <c r="I169" s="35">
        <v>-1.3860113901372251E-2</v>
      </c>
      <c r="J169" s="35">
        <v>4.6819026112872447E-2</v>
      </c>
      <c r="K169" s="35">
        <v>8.2693398136678378E-2</v>
      </c>
    </row>
    <row r="170" spans="1:11" x14ac:dyDescent="0.2">
      <c r="A170" s="33">
        <v>42970</v>
      </c>
      <c r="B170" s="35">
        <v>0.24994032351932208</v>
      </c>
      <c r="C170" s="35">
        <v>0.19328409619719769</v>
      </c>
      <c r="D170" s="35">
        <v>0.27398555060029656</v>
      </c>
      <c r="E170" s="35">
        <v>0.17753168969661443</v>
      </c>
      <c r="F170" s="35">
        <v>0.21633500925684565</v>
      </c>
      <c r="G170" s="35">
        <v>0.15349036121514251</v>
      </c>
      <c r="H170" s="35">
        <v>0.10306463618115387</v>
      </c>
      <c r="I170" s="35">
        <v>0.15856045923659148</v>
      </c>
      <c r="J170" s="35">
        <v>7.2638326832672476E-2</v>
      </c>
      <c r="K170" s="35">
        <v>0.23097470120649896</v>
      </c>
    </row>
    <row r="171" spans="1:11" x14ac:dyDescent="0.2">
      <c r="A171" s="33">
        <v>42971</v>
      </c>
      <c r="B171" s="35">
        <v>0.15312318743564138</v>
      </c>
      <c r="C171" s="35">
        <v>-8.5164377530732218E-3</v>
      </c>
      <c r="D171" s="35">
        <v>0.12131176920379802</v>
      </c>
      <c r="E171" s="35">
        <v>6.6239072277700206E-2</v>
      </c>
      <c r="F171" s="35">
        <v>0.10629789450232742</v>
      </c>
      <c r="G171" s="35">
        <v>0.16531785340222122</v>
      </c>
      <c r="H171" s="35">
        <v>-0.13831953450176507</v>
      </c>
      <c r="I171" s="35">
        <v>-4.5933191210848316E-2</v>
      </c>
      <c r="J171" s="35">
        <v>-2.6412896716192708E-2</v>
      </c>
      <c r="K171" s="35">
        <v>5.0521955106601062E-2</v>
      </c>
    </row>
    <row r="172" spans="1:11" x14ac:dyDescent="0.2">
      <c r="A172" s="33">
        <v>42972</v>
      </c>
      <c r="B172" s="35">
        <v>-0.17022756840392775</v>
      </c>
      <c r="C172" s="35">
        <v>-0.14756778201425999</v>
      </c>
      <c r="D172" s="35">
        <v>-1.4792247377282002E-2</v>
      </c>
      <c r="E172" s="35">
        <v>-0.12663737806894368</v>
      </c>
      <c r="F172" s="35">
        <v>-8.0097092611178811E-2</v>
      </c>
      <c r="G172" s="35">
        <v>0.10984371247251057</v>
      </c>
      <c r="H172" s="35">
        <v>-8.1857625574399615E-2</v>
      </c>
      <c r="I172" s="35">
        <v>2.6141885809729502E-2</v>
      </c>
      <c r="J172" s="35">
        <v>5.6853446197607162E-2</v>
      </c>
      <c r="K172" s="35">
        <v>0.11991598856577987</v>
      </c>
    </row>
    <row r="173" spans="1:11" x14ac:dyDescent="0.2">
      <c r="A173" s="33">
        <v>42975</v>
      </c>
      <c r="B173" s="35">
        <v>0.14432700318813163</v>
      </c>
      <c r="C173" s="35">
        <v>-4.4742138345416495E-2</v>
      </c>
      <c r="D173" s="35">
        <v>-4.0368417950466667E-2</v>
      </c>
      <c r="E173" s="35">
        <v>-4.2498952339107152E-2</v>
      </c>
      <c r="F173" s="35">
        <v>-1.8186720522502151E-3</v>
      </c>
      <c r="G173" s="35">
        <v>8.0014835120948147E-2</v>
      </c>
      <c r="H173" s="35">
        <v>-3.0084611860033274E-2</v>
      </c>
      <c r="I173" s="35">
        <v>5.0644676405942987E-2</v>
      </c>
      <c r="J173" s="35">
        <v>5.2502977175850826E-2</v>
      </c>
      <c r="K173" s="35">
        <v>0.13388756565136403</v>
      </c>
    </row>
    <row r="174" spans="1:11" x14ac:dyDescent="0.2">
      <c r="A174" s="33">
        <v>42976</v>
      </c>
      <c r="B174" s="35">
        <v>0.26015577211030755</v>
      </c>
      <c r="C174" s="35">
        <v>0.20095033655268685</v>
      </c>
      <c r="D174" s="35">
        <v>0.19784803515442181</v>
      </c>
      <c r="E174" s="35">
        <v>0.17297301678959009</v>
      </c>
      <c r="F174" s="35">
        <v>0.20569101096377684</v>
      </c>
      <c r="G174" s="35">
        <v>0.15955594447468285</v>
      </c>
      <c r="H174" s="35">
        <v>0.18943199141421577</v>
      </c>
      <c r="I174" s="35">
        <v>-2.3857478439069487E-2</v>
      </c>
      <c r="J174" s="35">
        <v>6.5711344249427261E-2</v>
      </c>
      <c r="K174" s="35">
        <v>7.0810099014707584E-2</v>
      </c>
    </row>
    <row r="175" spans="1:11" x14ac:dyDescent="0.2">
      <c r="A175" s="33">
        <v>42977</v>
      </c>
      <c r="B175" s="35">
        <v>-1.3917721600670656E-3</v>
      </c>
      <c r="C175" s="35">
        <v>-0.13666410166216869</v>
      </c>
      <c r="D175" s="35">
        <v>-0.1731127166325738</v>
      </c>
      <c r="E175" s="35">
        <v>-0.13000891923992552</v>
      </c>
      <c r="F175" s="35">
        <v>-9.0590888163689653E-2</v>
      </c>
      <c r="G175" s="35">
        <v>7.0764358846598846E-2</v>
      </c>
      <c r="H175" s="35">
        <v>-0.21963432313866676</v>
      </c>
      <c r="I175" s="35">
        <v>-2.7223249370809219E-3</v>
      </c>
      <c r="J175" s="35">
        <v>7.2189348242939488E-2</v>
      </c>
      <c r="K175" s="35">
        <v>0.10460846353213317</v>
      </c>
    </row>
    <row r="176" spans="1:11" x14ac:dyDescent="0.2">
      <c r="A176" s="33">
        <v>42978</v>
      </c>
      <c r="B176" s="35">
        <v>0.22537784403790637</v>
      </c>
      <c r="C176" s="35">
        <v>0.16249528982334488</v>
      </c>
      <c r="D176" s="35">
        <v>0.44378379449603333</v>
      </c>
      <c r="E176" s="35">
        <v>0.18363240557084262</v>
      </c>
      <c r="F176" s="35">
        <v>0.2299434617135985</v>
      </c>
      <c r="G176" s="35">
        <v>0.1878618043398895</v>
      </c>
      <c r="H176" s="35">
        <v>0.12671964548414738</v>
      </c>
      <c r="I176" s="35">
        <v>4.8695871848477804E-2</v>
      </c>
      <c r="J176" s="35">
        <v>2.6401112919900958E-2</v>
      </c>
      <c r="K176" s="35">
        <v>0.1432163317162117</v>
      </c>
    </row>
    <row r="177" spans="1:11" x14ac:dyDescent="0.2">
      <c r="A177" s="33">
        <v>42979</v>
      </c>
      <c r="B177" s="35">
        <v>0.20307138062163241</v>
      </c>
      <c r="C177" s="35">
        <v>0.21317933996471561</v>
      </c>
      <c r="D177" s="35">
        <v>6.9332420968360786E-2</v>
      </c>
      <c r="E177" s="35">
        <v>0.13637227522384349</v>
      </c>
      <c r="F177" s="35">
        <v>0.18042087392566</v>
      </c>
      <c r="G177" s="35">
        <v>0.11302388519586233</v>
      </c>
      <c r="H177" s="35">
        <v>0.12475771266508674</v>
      </c>
      <c r="I177" s="35">
        <v>0.11335550667668695</v>
      </c>
      <c r="J177" s="35">
        <v>0.13185809567026274</v>
      </c>
      <c r="K177" s="35">
        <v>0.20089667524513224</v>
      </c>
    </row>
    <row r="178" spans="1:11" x14ac:dyDescent="0.2">
      <c r="A178" s="33">
        <v>42982</v>
      </c>
      <c r="B178" s="35">
        <v>0.2385089131823423</v>
      </c>
      <c r="C178" s="35">
        <v>1.3376681441945606E-2</v>
      </c>
      <c r="D178" s="35">
        <v>-3.9307446353707013E-3</v>
      </c>
      <c r="E178" s="35">
        <v>8.1251447551058398E-2</v>
      </c>
      <c r="F178" s="35">
        <v>0.11561805332352329</v>
      </c>
      <c r="G178" s="35">
        <v>0.10495240075578775</v>
      </c>
      <c r="H178" s="35">
        <v>-0.11993173273553724</v>
      </c>
      <c r="I178" s="35">
        <v>7.1754878199660879E-2</v>
      </c>
      <c r="J178" s="35">
        <v>1.2220497293611843E-2</v>
      </c>
      <c r="K178" s="35">
        <v>0.14308821176730865</v>
      </c>
    </row>
    <row r="179" spans="1:11" x14ac:dyDescent="0.2">
      <c r="A179" s="33">
        <v>42983</v>
      </c>
      <c r="B179" s="35">
        <v>0.23337028234804089</v>
      </c>
      <c r="C179" s="35">
        <v>0.1121850990920714</v>
      </c>
      <c r="D179" s="35">
        <v>0.23973478967600925</v>
      </c>
      <c r="E179" s="35">
        <v>0.15165414400486255</v>
      </c>
      <c r="F179" s="35">
        <v>0.19086774601463555</v>
      </c>
      <c r="G179" s="35">
        <v>0.14584303677833022</v>
      </c>
      <c r="H179" s="35">
        <v>9.804781693167014E-2</v>
      </c>
      <c r="I179" s="35">
        <v>9.758908961908451E-2</v>
      </c>
      <c r="J179" s="35">
        <v>1.6357401994514714E-2</v>
      </c>
      <c r="K179" s="35">
        <v>0.17083300732327064</v>
      </c>
    </row>
    <row r="180" spans="1:11" x14ac:dyDescent="0.2">
      <c r="A180" s="33">
        <v>42984</v>
      </c>
      <c r="B180" s="35">
        <v>4.2438075787485062E-2</v>
      </c>
      <c r="C180" s="35">
        <v>-4.8437980517597005E-2</v>
      </c>
      <c r="D180" s="35">
        <v>-1.3533539737385327E-2</v>
      </c>
      <c r="E180" s="35">
        <v>-9.9414247066089811E-2</v>
      </c>
      <c r="F180" s="35">
        <v>-5.418236553560405E-2</v>
      </c>
      <c r="G180" s="35">
        <v>0.10880665506116198</v>
      </c>
      <c r="H180" s="35">
        <v>-4.0662999266109286E-2</v>
      </c>
      <c r="I180" s="35">
        <v>2.8878191209364006E-2</v>
      </c>
      <c r="J180" s="35">
        <v>4.0257626983941752E-2</v>
      </c>
      <c r="K180" s="35">
        <v>0.11863585097686204</v>
      </c>
    </row>
    <row r="181" spans="1:11" x14ac:dyDescent="0.2">
      <c r="A181" s="33">
        <v>42985</v>
      </c>
      <c r="B181" s="35">
        <v>0.47666717009682769</v>
      </c>
      <c r="C181" s="35">
        <v>0.35750844489377293</v>
      </c>
      <c r="D181" s="35">
        <v>0.40344771844976779</v>
      </c>
      <c r="E181" s="35">
        <v>0.29793423308156008</v>
      </c>
      <c r="F181" s="35">
        <v>0.33551986034228082</v>
      </c>
      <c r="G181" s="35">
        <v>0.17783351252616669</v>
      </c>
      <c r="H181" s="35">
        <v>0.22657312351797645</v>
      </c>
      <c r="I181" s="35">
        <v>0.2202409583947032</v>
      </c>
      <c r="J181" s="35">
        <v>0.16356732760731385</v>
      </c>
      <c r="K181" s="35">
        <v>0.30145703979572114</v>
      </c>
    </row>
    <row r="182" spans="1:11" x14ac:dyDescent="0.2">
      <c r="A182" s="33">
        <v>42986</v>
      </c>
      <c r="B182" s="35">
        <v>9.5161067680471084E-2</v>
      </c>
      <c r="C182" s="35">
        <v>0.18425294247388607</v>
      </c>
      <c r="D182" s="35">
        <v>0.23109187767969055</v>
      </c>
      <c r="E182" s="35">
        <v>0.17160298106755822</v>
      </c>
      <c r="F182" s="35">
        <v>0.21523001103046097</v>
      </c>
      <c r="G182" s="35">
        <v>0.16147899793778833</v>
      </c>
      <c r="H182" s="35">
        <v>7.0721546906408889E-2</v>
      </c>
      <c r="I182" s="35">
        <v>7.9678731352929952E-2</v>
      </c>
      <c r="J182" s="35">
        <v>3.9370344506405017E-2</v>
      </c>
      <c r="K182" s="35">
        <v>0.16119740832768478</v>
      </c>
    </row>
    <row r="183" spans="1:11" x14ac:dyDescent="0.2">
      <c r="A183" s="33">
        <v>42989</v>
      </c>
      <c r="B183" s="35">
        <v>0.22698765623887443</v>
      </c>
      <c r="C183" s="35">
        <v>9.5581199279550458E-2</v>
      </c>
      <c r="D183" s="35">
        <v>8.2781225943439327E-2</v>
      </c>
      <c r="E183" s="35">
        <v>0.13900176294915637</v>
      </c>
      <c r="F183" s="35">
        <v>0.17088710392357426</v>
      </c>
      <c r="G183" s="35">
        <v>0.13535873528810297</v>
      </c>
      <c r="H183" s="35">
        <v>-2.1342486092452796E-2</v>
      </c>
      <c r="I183" s="35">
        <v>0.11224072890959602</v>
      </c>
      <c r="J183" s="35">
        <v>0.1241552269824204</v>
      </c>
      <c r="K183" s="35">
        <v>0.20374387777398073</v>
      </c>
    </row>
    <row r="184" spans="1:11" x14ac:dyDescent="0.2">
      <c r="A184" s="33">
        <v>42990</v>
      </c>
      <c r="B184" s="35">
        <v>0.25046961960542874</v>
      </c>
      <c r="C184" s="35">
        <v>7.1117743417818804E-2</v>
      </c>
      <c r="D184" s="35">
        <v>1.262312073698914E-2</v>
      </c>
      <c r="E184" s="35">
        <v>1.328062375002038E-3</v>
      </c>
      <c r="F184" s="35">
        <v>3.929322800410795E-2</v>
      </c>
      <c r="G184" s="35">
        <v>9.0170901105078693E-2</v>
      </c>
      <c r="H184" s="35">
        <v>1.0397095419031926E-2</v>
      </c>
      <c r="I184" s="35">
        <v>8.9630429323815639E-2</v>
      </c>
      <c r="J184" s="35">
        <v>5.925038643893759E-2</v>
      </c>
      <c r="K184" s="35">
        <v>0.18579662978939324</v>
      </c>
    </row>
    <row r="185" spans="1:11" x14ac:dyDescent="0.2">
      <c r="A185" s="33">
        <v>42991</v>
      </c>
      <c r="B185" s="35">
        <v>0.11997636793598866</v>
      </c>
      <c r="C185" s="35">
        <v>2.1596511483147653E-2</v>
      </c>
      <c r="D185" s="35">
        <v>0.13556154142103408</v>
      </c>
      <c r="E185" s="35">
        <v>6.6903359849552105E-2</v>
      </c>
      <c r="F185" s="35">
        <v>0.10797535592709362</v>
      </c>
      <c r="G185" s="35">
        <v>0.13039936958025233</v>
      </c>
      <c r="H185" s="35">
        <v>-9.9266026793607461E-3</v>
      </c>
      <c r="I185" s="35">
        <v>9.4150481430417612E-2</v>
      </c>
      <c r="J185" s="35">
        <v>2.472928794896569E-2</v>
      </c>
      <c r="K185" s="35">
        <v>0.16791586198892947</v>
      </c>
    </row>
    <row r="186" spans="1:11" x14ac:dyDescent="0.2">
      <c r="A186" s="33">
        <v>42992</v>
      </c>
      <c r="B186" s="35">
        <v>9.2105368586916508E-2</v>
      </c>
      <c r="C186" s="35">
        <v>1.4939181344594899E-2</v>
      </c>
      <c r="D186" s="35">
        <v>0.1246900686211196</v>
      </c>
      <c r="E186" s="35">
        <v>2.0530234313459934E-3</v>
      </c>
      <c r="F186" s="35">
        <v>4.7677620976766068E-2</v>
      </c>
      <c r="G186" s="35">
        <v>0.14129921157851413</v>
      </c>
      <c r="H186" s="35">
        <v>1.3094295167561351E-2</v>
      </c>
      <c r="I186" s="35">
        <v>2.7484423823064093E-2</v>
      </c>
      <c r="J186" s="35">
        <v>6.496775080184581E-3</v>
      </c>
      <c r="K186" s="35">
        <v>0.10591723099034527</v>
      </c>
    </row>
    <row r="187" spans="1:11" x14ac:dyDescent="0.2">
      <c r="A187" s="33">
        <v>42993</v>
      </c>
      <c r="B187" s="35">
        <v>0.20386835592165387</v>
      </c>
      <c r="C187" s="35">
        <v>0.15350956936297255</v>
      </c>
      <c r="D187" s="35">
        <v>0.23639985392417054</v>
      </c>
      <c r="E187" s="35">
        <v>0.17633303045083043</v>
      </c>
      <c r="F187" s="35">
        <v>0.21242627800041725</v>
      </c>
      <c r="G187" s="35">
        <v>0.14688050105388195</v>
      </c>
      <c r="H187" s="35">
        <v>3.493850281439638E-2</v>
      </c>
      <c r="I187" s="35">
        <v>2.9935315908306034E-3</v>
      </c>
      <c r="J187" s="35">
        <v>9.7169170693575738E-2</v>
      </c>
      <c r="K187" s="35">
        <v>9.7953355615801443E-2</v>
      </c>
    </row>
    <row r="188" spans="1:11" x14ac:dyDescent="0.2">
      <c r="A188" s="33">
        <v>42996</v>
      </c>
      <c r="B188" s="35">
        <v>5.3677786996806344E-2</v>
      </c>
      <c r="C188" s="35">
        <v>7.6283982656096386E-2</v>
      </c>
      <c r="D188" s="35">
        <v>2.9233987733988203E-2</v>
      </c>
      <c r="E188" s="35">
        <v>1.1362685811101236E-2</v>
      </c>
      <c r="F188" s="35">
        <v>5.7846158540608553E-2</v>
      </c>
      <c r="G188" s="35">
        <v>0.11486707608013094</v>
      </c>
      <c r="H188" s="35">
        <v>2.8359595569194358E-3</v>
      </c>
      <c r="I188" s="35">
        <v>-1.4743383943738314E-2</v>
      </c>
      <c r="J188" s="35">
        <v>6.4206385743669894E-2</v>
      </c>
      <c r="K188" s="35">
        <v>7.4703760682798631E-2</v>
      </c>
    </row>
    <row r="189" spans="1:11" x14ac:dyDescent="0.2">
      <c r="A189" s="33">
        <v>42997</v>
      </c>
      <c r="B189" s="35">
        <v>-7.9660311181246141E-2</v>
      </c>
      <c r="C189" s="35">
        <v>-9.2042395857960133E-2</v>
      </c>
      <c r="D189" s="35">
        <v>2.7759811422071588E-2</v>
      </c>
      <c r="E189" s="35">
        <v>-0.10738237977158469</v>
      </c>
      <c r="F189" s="35">
        <v>-6.384724975190971E-2</v>
      </c>
      <c r="G189" s="35">
        <v>9.8775084914536293E-2</v>
      </c>
      <c r="H189" s="35">
        <v>-5.9116645677917218E-2</v>
      </c>
      <c r="I189" s="35">
        <v>4.2172019612355376E-3</v>
      </c>
      <c r="J189" s="35">
        <v>3.2763825232579424E-2</v>
      </c>
      <c r="K189" s="35">
        <v>0.10271053816933746</v>
      </c>
    </row>
    <row r="190" spans="1:11" x14ac:dyDescent="0.2">
      <c r="A190" s="33">
        <v>42998</v>
      </c>
      <c r="B190" s="35">
        <v>0.10769979695777759</v>
      </c>
      <c r="C190" s="35">
        <v>6.1569909654595786E-2</v>
      </c>
      <c r="D190" s="35">
        <v>8.8219818587746773E-2</v>
      </c>
      <c r="E190" s="35">
        <v>5.9639814827036917E-2</v>
      </c>
      <c r="F190" s="35">
        <v>8.8841939352703125E-2</v>
      </c>
      <c r="G190" s="35">
        <v>0.14414012323567063</v>
      </c>
      <c r="H190" s="35">
        <v>-6.9739299348912362E-2</v>
      </c>
      <c r="I190" s="35">
        <v>-5.2936341818515281E-2</v>
      </c>
      <c r="J190" s="35">
        <v>6.6031210169115187E-2</v>
      </c>
      <c r="K190" s="35">
        <v>6.090668300892331E-2</v>
      </c>
    </row>
    <row r="191" spans="1:11" x14ac:dyDescent="0.2">
      <c r="A191" s="33">
        <v>42999</v>
      </c>
      <c r="B191" s="35">
        <v>0.24293758229588031</v>
      </c>
      <c r="C191" s="35">
        <v>0.15812675494392495</v>
      </c>
      <c r="D191" s="35">
        <v>0.32514765421795083</v>
      </c>
      <c r="E191" s="35">
        <v>0.21856977717666376</v>
      </c>
      <c r="F191" s="35">
        <v>0.26155510750524497</v>
      </c>
      <c r="G191" s="35">
        <v>0.15899569817514256</v>
      </c>
      <c r="H191" s="35">
        <v>0.19889650225997377</v>
      </c>
      <c r="I191" s="35">
        <v>2.3409521335169294E-2</v>
      </c>
      <c r="J191" s="35">
        <v>4.7074858230821241E-2</v>
      </c>
      <c r="K191" s="35">
        <v>0.11111957123217166</v>
      </c>
    </row>
    <row r="192" spans="1:11" x14ac:dyDescent="0.2">
      <c r="A192" s="33">
        <v>43000</v>
      </c>
      <c r="B192" s="35">
        <v>-0.1822833989939292</v>
      </c>
      <c r="C192" s="35">
        <v>-0.25501610539694158</v>
      </c>
      <c r="D192" s="35">
        <v>0.17635883216305434</v>
      </c>
      <c r="E192" s="35">
        <v>-6.9010575663547888E-2</v>
      </c>
      <c r="F192" s="35">
        <v>-3.0955547740137784E-2</v>
      </c>
      <c r="G192" s="35">
        <v>0.15274392704760154</v>
      </c>
      <c r="H192" s="35">
        <v>-2.4588970869705438E-2</v>
      </c>
      <c r="I192" s="35">
        <v>-8.7233530813038435E-3</v>
      </c>
      <c r="J192" s="35">
        <v>6.2578012477054398E-3</v>
      </c>
      <c r="K192" s="35">
        <v>6.4713711572052593E-2</v>
      </c>
    </row>
    <row r="193" spans="1:11" x14ac:dyDescent="0.2">
      <c r="A193" s="33">
        <v>43003</v>
      </c>
      <c r="B193" s="35">
        <v>-0.12620426799027654</v>
      </c>
      <c r="C193" s="35">
        <v>-0.12763276608835988</v>
      </c>
      <c r="D193" s="35">
        <v>-0.23255803234441097</v>
      </c>
      <c r="E193" s="35">
        <v>-0.22749493258724929</v>
      </c>
      <c r="F193" s="35">
        <v>-0.17727697873583062</v>
      </c>
      <c r="G193" s="35">
        <v>3.5490776608243887E-2</v>
      </c>
      <c r="H193" s="35">
        <v>-0.16905156466316942</v>
      </c>
      <c r="I193" s="35">
        <v>8.7494595212433135E-3</v>
      </c>
      <c r="J193" s="35">
        <v>1.4593931594413218E-2</v>
      </c>
      <c r="K193" s="35">
        <v>9.4728078413049005E-2</v>
      </c>
    </row>
    <row r="194" spans="1:11" x14ac:dyDescent="0.2">
      <c r="A194" s="33">
        <v>43004</v>
      </c>
      <c r="B194" s="35">
        <v>-5.273595879142607E-2</v>
      </c>
      <c r="C194" s="35">
        <v>-8.1140470793442526E-2</v>
      </c>
      <c r="D194" s="35">
        <v>-1.2974847782387354E-2</v>
      </c>
      <c r="E194" s="35">
        <v>-9.9988530211503154E-2</v>
      </c>
      <c r="F194" s="35">
        <v>-4.2998940004790195E-2</v>
      </c>
      <c r="G194" s="35">
        <v>7.2453313766107225E-2</v>
      </c>
      <c r="H194" s="35">
        <v>-0.13734048540161994</v>
      </c>
      <c r="I194" s="35">
        <v>3.8061140178984924E-2</v>
      </c>
      <c r="J194" s="35">
        <v>1.8429256538669444E-2</v>
      </c>
      <c r="K194" s="35">
        <v>0.12345801865078287</v>
      </c>
    </row>
    <row r="195" spans="1:11" x14ac:dyDescent="0.2">
      <c r="A195" s="33">
        <v>43005</v>
      </c>
      <c r="B195" s="35">
        <v>0.26774497443376877</v>
      </c>
      <c r="C195" s="35">
        <v>0.11216996653539288</v>
      </c>
      <c r="D195" s="35">
        <v>0.15891479302676553</v>
      </c>
      <c r="E195" s="35">
        <v>0.15363508394035932</v>
      </c>
      <c r="F195" s="35">
        <v>0.19695242895559836</v>
      </c>
      <c r="G195" s="35">
        <v>0.15166514728246161</v>
      </c>
      <c r="H195" s="35">
        <v>5.8223499775985434E-2</v>
      </c>
      <c r="I195" s="35">
        <v>6.4354529667543139E-2</v>
      </c>
      <c r="J195" s="35">
        <v>5.0831334096409005E-2</v>
      </c>
      <c r="K195" s="35">
        <v>0.1487013213627725</v>
      </c>
    </row>
    <row r="196" spans="1:11" x14ac:dyDescent="0.2">
      <c r="A196" s="33">
        <v>43006</v>
      </c>
      <c r="B196" s="35">
        <v>0.28757028692494596</v>
      </c>
      <c r="C196" s="35">
        <v>7.9297138302125605E-2</v>
      </c>
      <c r="D196" s="35">
        <v>9.3003441377361162E-2</v>
      </c>
      <c r="E196" s="35">
        <v>6.7290618673093869E-2</v>
      </c>
      <c r="F196" s="35">
        <v>0.10488050077029193</v>
      </c>
      <c r="G196" s="35">
        <v>0.115535133265249</v>
      </c>
      <c r="H196" s="35">
        <v>6.6244908127137229E-3</v>
      </c>
      <c r="I196" s="35">
        <v>5.3219269251872238E-2</v>
      </c>
      <c r="J196" s="35">
        <v>0.10047761977195339</v>
      </c>
      <c r="K196" s="35">
        <v>0.15117763523758168</v>
      </c>
    </row>
    <row r="197" spans="1:11" x14ac:dyDescent="0.2">
      <c r="A197" s="33">
        <v>43007</v>
      </c>
      <c r="B197" s="35">
        <v>0.11050611930713039</v>
      </c>
      <c r="C197" s="35">
        <v>9.7885690709088244E-2</v>
      </c>
      <c r="D197" s="35">
        <v>9.7888805734490297E-2</v>
      </c>
      <c r="E197" s="35">
        <v>7.8386286438192856E-2</v>
      </c>
      <c r="F197" s="35">
        <v>0.1207197230807887</v>
      </c>
      <c r="G197" s="35">
        <v>0.12580508508767826</v>
      </c>
      <c r="H197" s="35">
        <v>-0.12223104293767598</v>
      </c>
      <c r="I197" s="35">
        <v>-5.2092873932490492E-2</v>
      </c>
      <c r="J197" s="35">
        <v>2.0365940305668108E-2</v>
      </c>
      <c r="K197" s="35">
        <v>5.7894623865584922E-2</v>
      </c>
    </row>
    <row r="198" spans="1:11" x14ac:dyDescent="0.2">
      <c r="A198" s="33">
        <v>43010</v>
      </c>
      <c r="B198" s="35">
        <v>-4.3256288081829741E-2</v>
      </c>
      <c r="C198" s="35">
        <v>0.12176765824650862</v>
      </c>
      <c r="D198" s="35">
        <v>-0.16183277402228796</v>
      </c>
      <c r="E198" s="35">
        <v>-3.4093511514580933E-2</v>
      </c>
      <c r="F198" s="35">
        <v>9.185997905124468E-3</v>
      </c>
      <c r="G198" s="35">
        <v>9.5132772955377295E-2</v>
      </c>
      <c r="H198" s="35">
        <v>0.1030198303933029</v>
      </c>
      <c r="I198" s="35">
        <v>0.11497270467158326</v>
      </c>
      <c r="J198" s="35">
        <v>8.7112788786828307E-2</v>
      </c>
      <c r="K198" s="35">
        <v>0.20749536841079633</v>
      </c>
    </row>
    <row r="199" spans="1:11" x14ac:dyDescent="0.2">
      <c r="A199" s="33">
        <v>43011</v>
      </c>
      <c r="B199" s="35">
        <v>0.18765110140656668</v>
      </c>
      <c r="C199" s="35">
        <v>6.7246671263978004E-3</v>
      </c>
      <c r="D199" s="35">
        <v>0.20845173640745945</v>
      </c>
      <c r="E199" s="35">
        <v>0.12963193389929237</v>
      </c>
      <c r="F199" s="35">
        <v>0.1733957431067252</v>
      </c>
      <c r="G199" s="35">
        <v>0.15469564018632567</v>
      </c>
      <c r="H199" s="35">
        <v>-8.3078410567607411E-2</v>
      </c>
      <c r="I199" s="35">
        <v>-4.7860135657961872E-3</v>
      </c>
      <c r="J199" s="35">
        <v>4.9949907838801919E-2</v>
      </c>
      <c r="K199" s="35">
        <v>7.8738910362896791E-2</v>
      </c>
    </row>
    <row r="200" spans="1:11" x14ac:dyDescent="0.2">
      <c r="A200" s="33">
        <v>43012</v>
      </c>
      <c r="B200" s="35">
        <v>-4.2052502938490055E-2</v>
      </c>
      <c r="C200" s="35">
        <v>-7.6018414545870036E-2</v>
      </c>
      <c r="D200" s="35">
        <v>-3.4026519617122455E-2</v>
      </c>
      <c r="E200" s="35">
        <v>-3.416886546547776E-2</v>
      </c>
      <c r="F200" s="35">
        <v>1.9254694608646841E-3</v>
      </c>
      <c r="G200" s="35">
        <v>0.12243350932528814</v>
      </c>
      <c r="H200" s="35">
        <v>-0.14398019633250428</v>
      </c>
      <c r="I200" s="35">
        <v>-2.3439381383399824E-2</v>
      </c>
      <c r="J200" s="35">
        <v>7.7901930381409315E-2</v>
      </c>
      <c r="K200" s="35">
        <v>7.2571980049922338E-2</v>
      </c>
    </row>
    <row r="201" spans="1:11" x14ac:dyDescent="0.2">
      <c r="A201" s="33">
        <v>43013</v>
      </c>
      <c r="B201" s="35">
        <v>0.27266659786584763</v>
      </c>
      <c r="C201" s="35">
        <v>0.16355048177877371</v>
      </c>
      <c r="D201" s="35">
        <v>-3.3889245415501215E-2</v>
      </c>
      <c r="E201" s="35">
        <v>5.2379065681643321E-2</v>
      </c>
      <c r="F201" s="35">
        <v>9.3326485264216941E-2</v>
      </c>
      <c r="G201" s="35">
        <v>8.3002283387741918E-2</v>
      </c>
      <c r="H201" s="35">
        <v>9.0898731530542023E-2</v>
      </c>
      <c r="I201" s="35">
        <v>7.1209185441018133E-2</v>
      </c>
      <c r="J201" s="35">
        <v>6.3546407067863825E-2</v>
      </c>
      <c r="K201" s="35">
        <v>0.1756201645724958</v>
      </c>
    </row>
    <row r="202" spans="1:11" x14ac:dyDescent="0.2">
      <c r="A202" s="33">
        <v>43014</v>
      </c>
      <c r="B202" s="35">
        <v>3.1215098295665954E-2</v>
      </c>
      <c r="C202" s="35">
        <v>-1.3194229245736442E-2</v>
      </c>
      <c r="D202" s="35">
        <v>0.18119264121127746</v>
      </c>
      <c r="E202" s="35">
        <v>1.9528720364025462E-2</v>
      </c>
      <c r="F202" s="35">
        <v>6.0902392442979791E-2</v>
      </c>
      <c r="G202" s="35">
        <v>0.14699767769463357</v>
      </c>
      <c r="H202" s="35">
        <v>-2.0108620248289886E-2</v>
      </c>
      <c r="I202" s="35">
        <v>-8.4315070187480162E-2</v>
      </c>
      <c r="J202" s="35">
        <v>3.0398028595350558E-2</v>
      </c>
      <c r="K202" s="35">
        <v>1.4868879999207409E-2</v>
      </c>
    </row>
    <row r="203" spans="1:11" x14ac:dyDescent="0.2">
      <c r="A203" s="33">
        <v>43017</v>
      </c>
      <c r="B203" s="35">
        <v>0.1072858566448564</v>
      </c>
      <c r="C203" s="35">
        <v>1.7882057811864464E-2</v>
      </c>
      <c r="D203" s="35">
        <v>6.4079253363072852E-2</v>
      </c>
      <c r="E203" s="35">
        <v>5.0562720551695341E-2</v>
      </c>
      <c r="F203" s="35">
        <v>9.0375691128715227E-2</v>
      </c>
      <c r="G203" s="35">
        <v>0.12463079401741083</v>
      </c>
      <c r="H203" s="35">
        <v>-3.754904475050308E-2</v>
      </c>
      <c r="I203" s="35">
        <v>0.12443524400237789</v>
      </c>
      <c r="J203" s="35">
        <v>3.3655777546369801E-2</v>
      </c>
      <c r="K203" s="35">
        <v>0.19901971043859257</v>
      </c>
    </row>
    <row r="204" spans="1:11" x14ac:dyDescent="0.2">
      <c r="A204" s="33">
        <v>43018</v>
      </c>
      <c r="B204" s="35">
        <v>-3.9198351274164128E-2</v>
      </c>
      <c r="C204" s="35">
        <v>-0.24778673686769143</v>
      </c>
      <c r="D204" s="35">
        <v>-9.7730584968387171E-2</v>
      </c>
      <c r="E204" s="35">
        <v>-0.13730261998725776</v>
      </c>
      <c r="F204" s="35">
        <v>-0.10764726419178244</v>
      </c>
      <c r="G204" s="35">
        <v>7.5077526566654271E-2</v>
      </c>
      <c r="H204" s="35">
        <v>-0.18925794206503435</v>
      </c>
      <c r="I204" s="35">
        <v>-6.650173642705233E-2</v>
      </c>
      <c r="J204" s="35">
        <v>4.3223184152679867E-2</v>
      </c>
      <c r="K204" s="35">
        <v>3.5513190189049901E-2</v>
      </c>
    </row>
    <row r="205" spans="1:11" x14ac:dyDescent="0.2">
      <c r="A205" s="33">
        <v>43019</v>
      </c>
      <c r="B205" s="35">
        <v>5.940040175471209E-2</v>
      </c>
      <c r="C205" s="35">
        <v>-6.5693876263552706E-2</v>
      </c>
      <c r="D205" s="35">
        <v>0.17448091680566807</v>
      </c>
      <c r="E205" s="35">
        <v>2.0998292891965548E-2</v>
      </c>
      <c r="F205" s="35">
        <v>5.8461858959477926E-2</v>
      </c>
      <c r="G205" s="35">
        <v>0.1736938714889191</v>
      </c>
      <c r="H205" s="35">
        <v>-0.11767405443989266</v>
      </c>
      <c r="I205" s="35">
        <v>-0.14769835328632869</v>
      </c>
      <c r="J205" s="35">
        <v>1.7502558756556451E-2</v>
      </c>
      <c r="K205" s="35">
        <v>-4.4709068007649101E-2</v>
      </c>
    </row>
    <row r="206" spans="1:11" x14ac:dyDescent="0.2">
      <c r="A206" s="33">
        <v>43020</v>
      </c>
      <c r="B206" s="35">
        <v>4.1674985224378631E-2</v>
      </c>
      <c r="C206" s="35">
        <v>9.5512968065100151E-2</v>
      </c>
      <c r="D206" s="35">
        <v>0.14306996382143236</v>
      </c>
      <c r="E206" s="35">
        <v>8.2572228126670547E-2</v>
      </c>
      <c r="F206" s="35">
        <v>0.11673004354522058</v>
      </c>
      <c r="G206" s="35">
        <v>0.14651161484680558</v>
      </c>
      <c r="H206" s="35">
        <v>5.5447906599548437E-2</v>
      </c>
      <c r="I206" s="35">
        <v>0.10533428176586349</v>
      </c>
      <c r="J206" s="35">
        <v>8.5537429699597683E-2</v>
      </c>
      <c r="K206" s="35">
        <v>0.1815466833172294</v>
      </c>
    </row>
    <row r="207" spans="1:11" x14ac:dyDescent="0.2">
      <c r="A207" s="33">
        <v>43021</v>
      </c>
      <c r="B207" s="35">
        <v>0.14684765412611514</v>
      </c>
      <c r="C207" s="35">
        <v>2.1913962012888033E-2</v>
      </c>
      <c r="D207" s="35">
        <v>0.16991331072500568</v>
      </c>
      <c r="E207" s="35">
        <v>4.8318575370538935E-2</v>
      </c>
      <c r="F207" s="35">
        <v>9.370274445627734E-2</v>
      </c>
      <c r="G207" s="35">
        <v>0.11812538442995228</v>
      </c>
      <c r="H207" s="35">
        <v>-7.7169360079788907E-3</v>
      </c>
      <c r="I207" s="35">
        <v>0.12002323843245494</v>
      </c>
      <c r="J207" s="35">
        <v>4.9451475517134143E-2</v>
      </c>
      <c r="K207" s="35">
        <v>0.1898413046346005</v>
      </c>
    </row>
    <row r="208" spans="1:11" x14ac:dyDescent="0.2">
      <c r="A208" s="33">
        <v>43024</v>
      </c>
      <c r="B208" s="35">
        <v>4.4974210371389767E-2</v>
      </c>
      <c r="C208" s="35">
        <v>-7.387798661244397E-3</v>
      </c>
      <c r="D208" s="35">
        <v>3.6985826023868573E-2</v>
      </c>
      <c r="E208" s="35">
        <v>-2.5418151141120098E-2</v>
      </c>
      <c r="F208" s="35">
        <v>5.9646050970194884E-3</v>
      </c>
      <c r="G208" s="35">
        <v>0.12166916130456659</v>
      </c>
      <c r="H208" s="35">
        <v>2.4760074427856348E-2</v>
      </c>
      <c r="I208" s="35">
        <v>2.0327266201220699E-3</v>
      </c>
      <c r="J208" s="35">
        <v>8.3201841250793523E-2</v>
      </c>
      <c r="K208" s="35">
        <v>0.10025695294685663</v>
      </c>
    </row>
    <row r="209" spans="1:11" x14ac:dyDescent="0.2">
      <c r="A209" s="33">
        <v>43025</v>
      </c>
      <c r="B209" s="35">
        <v>0.21941718821399164</v>
      </c>
      <c r="C209" s="35">
        <v>9.6601097972608185E-2</v>
      </c>
      <c r="D209" s="35">
        <v>0.38194144640814603</v>
      </c>
      <c r="E209" s="35">
        <v>0.18753069722537799</v>
      </c>
      <c r="F209" s="35">
        <v>0.22614065739798631</v>
      </c>
      <c r="G209" s="35">
        <v>0.19420761488717594</v>
      </c>
      <c r="H209" s="35">
        <v>0.19223833570394494</v>
      </c>
      <c r="I209" s="35">
        <v>6.0810216519430443E-2</v>
      </c>
      <c r="J209" s="35">
        <v>9.4213868902290165E-2</v>
      </c>
      <c r="K209" s="35">
        <v>0.14670662275950663</v>
      </c>
    </row>
    <row r="210" spans="1:11" x14ac:dyDescent="0.2">
      <c r="A210" s="33">
        <v>43026</v>
      </c>
      <c r="B210" s="35">
        <v>0.27944916179585139</v>
      </c>
      <c r="C210" s="35">
        <v>0.17180638260297071</v>
      </c>
      <c r="D210" s="35">
        <v>3.8890538731235505E-2</v>
      </c>
      <c r="E210" s="35">
        <v>9.1825532436021706E-2</v>
      </c>
      <c r="F210" s="35">
        <v>0.1282146445657803</v>
      </c>
      <c r="G210" s="35">
        <v>0.12089642049513034</v>
      </c>
      <c r="H210" s="35">
        <v>1.2808871184489712E-3</v>
      </c>
      <c r="I210" s="35">
        <v>8.4418632040387506E-2</v>
      </c>
      <c r="J210" s="35">
        <v>6.8807045204812858E-2</v>
      </c>
      <c r="K210" s="35">
        <v>0.16749604803186602</v>
      </c>
    </row>
    <row r="211" spans="1:11" x14ac:dyDescent="0.2">
      <c r="A211" s="33">
        <v>43027</v>
      </c>
      <c r="B211" s="35">
        <v>9.0422679031979883E-3</v>
      </c>
      <c r="C211" s="35">
        <v>-7.4708374358381457E-2</v>
      </c>
      <c r="D211" s="35">
        <v>0.13169631007360408</v>
      </c>
      <c r="E211" s="35">
        <v>-3.2595934539745075E-2</v>
      </c>
      <c r="F211" s="35">
        <v>1.0203967773497892E-2</v>
      </c>
      <c r="G211" s="35">
        <v>9.8396853782167268E-2</v>
      </c>
      <c r="H211" s="35">
        <v>-1.9979235466591059E-2</v>
      </c>
      <c r="I211" s="35">
        <v>2.0668675914961254E-2</v>
      </c>
      <c r="J211" s="35">
        <v>2.3750168002473905E-2</v>
      </c>
      <c r="K211" s="35">
        <v>0.10095785323153027</v>
      </c>
    </row>
    <row r="212" spans="1:11" x14ac:dyDescent="0.2">
      <c r="A212" s="33">
        <v>43028</v>
      </c>
      <c r="B212" s="35">
        <v>6.4303870932422041E-2</v>
      </c>
      <c r="C212" s="35">
        <v>0.13110222768047824</v>
      </c>
      <c r="D212" s="35">
        <v>0.34158985564232475</v>
      </c>
      <c r="E212" s="35">
        <v>0.14870433891292506</v>
      </c>
      <c r="F212" s="35">
        <v>0.19688054729409621</v>
      </c>
      <c r="G212" s="35">
        <v>0.18670470575341658</v>
      </c>
      <c r="H212" s="35">
        <v>0.10357639788346235</v>
      </c>
      <c r="I212" s="35">
        <v>-6.2380537842749238E-2</v>
      </c>
      <c r="J212" s="35">
        <v>1.434234773810999E-2</v>
      </c>
      <c r="K212" s="35">
        <v>3.7129896011573613E-2</v>
      </c>
    </row>
    <row r="213" spans="1:11" x14ac:dyDescent="0.2">
      <c r="A213" s="33">
        <v>43031</v>
      </c>
      <c r="B213" s="35">
        <v>0.13464912588937966</v>
      </c>
      <c r="C213" s="35">
        <v>8.1904023313019977E-2</v>
      </c>
      <c r="D213" s="35">
        <v>8.4863364182852771E-2</v>
      </c>
      <c r="E213" s="35">
        <v>6.0387583351413178E-2</v>
      </c>
      <c r="F213" s="35">
        <v>9.7540492600574749E-2</v>
      </c>
      <c r="G213" s="35">
        <v>0.11242960947360149</v>
      </c>
      <c r="H213" s="35">
        <v>7.5386490439283679E-2</v>
      </c>
      <c r="I213" s="35">
        <v>0.11326319599405602</v>
      </c>
      <c r="J213" s="35">
        <v>7.588977279923681E-2</v>
      </c>
      <c r="K213" s="35">
        <v>0.19386940158539834</v>
      </c>
    </row>
    <row r="214" spans="1:11" x14ac:dyDescent="0.2">
      <c r="A214" s="33">
        <v>43032</v>
      </c>
      <c r="B214" s="35">
        <v>4.840253743959514E-2</v>
      </c>
      <c r="C214" s="35">
        <v>6.7806008690823732E-2</v>
      </c>
      <c r="D214" s="35">
        <v>0.23638461210277859</v>
      </c>
      <c r="E214" s="35">
        <v>0.11862731445142169</v>
      </c>
      <c r="F214" s="35">
        <v>0.15393150342637907</v>
      </c>
      <c r="G214" s="35">
        <v>0.16086479698060194</v>
      </c>
      <c r="H214" s="35">
        <v>-2.1605242464666257E-2</v>
      </c>
      <c r="I214" s="35">
        <v>-9.136779790742168E-2</v>
      </c>
      <c r="J214" s="35">
        <v>1.5927867214448842E-2</v>
      </c>
      <c r="K214" s="35">
        <v>2.1505987438977952E-2</v>
      </c>
    </row>
    <row r="215" spans="1:11" x14ac:dyDescent="0.2">
      <c r="A215" s="33">
        <v>43033</v>
      </c>
      <c r="B215" s="35">
        <v>-5.1969380523338604E-2</v>
      </c>
      <c r="C215" s="35">
        <v>6.3576869421508586E-2</v>
      </c>
      <c r="D215" s="35">
        <v>0.14608192512684978</v>
      </c>
      <c r="E215" s="35">
        <v>4.0600712469605282E-2</v>
      </c>
      <c r="F215" s="35">
        <v>8.3700129956446795E-2</v>
      </c>
      <c r="G215" s="35">
        <v>0.13063308845837568</v>
      </c>
      <c r="H215" s="35">
        <v>-1.5144641835429679E-2</v>
      </c>
      <c r="I215" s="35">
        <v>3.7065718303381798E-3</v>
      </c>
      <c r="J215" s="35">
        <v>4.5370535719042537E-2</v>
      </c>
      <c r="K215" s="35">
        <v>0.1000902422318711</v>
      </c>
    </row>
    <row r="216" spans="1:11" x14ac:dyDescent="0.2">
      <c r="A216" s="33">
        <v>43034</v>
      </c>
      <c r="B216" s="35">
        <v>3.3275321525404446E-2</v>
      </c>
      <c r="C216" s="35">
        <v>-8.5670729474660659E-2</v>
      </c>
      <c r="D216" s="35">
        <v>-2.3641812562797342E-2</v>
      </c>
      <c r="E216" s="35">
        <v>-8.9074010105658588E-2</v>
      </c>
      <c r="F216" s="35">
        <v>-4.7233115891758173E-2</v>
      </c>
      <c r="G216" s="35">
        <v>7.4801927770540372E-2</v>
      </c>
      <c r="H216" s="35">
        <v>-9.4780088098015539E-2</v>
      </c>
      <c r="I216" s="35">
        <v>1.2735768530731568E-2</v>
      </c>
      <c r="J216" s="35">
        <v>4.456421013504136E-2</v>
      </c>
      <c r="K216" s="35">
        <v>0.10112297348037133</v>
      </c>
    </row>
    <row r="217" spans="1:11" x14ac:dyDescent="0.2">
      <c r="A217" s="33">
        <v>43035</v>
      </c>
      <c r="B217" s="35">
        <v>7.5548750118416552E-2</v>
      </c>
      <c r="C217" s="35">
        <v>-7.8691355805309046E-2</v>
      </c>
      <c r="D217" s="35">
        <v>5.1022453027612137E-2</v>
      </c>
      <c r="E217" s="35">
        <v>-2.4298856920232134E-2</v>
      </c>
      <c r="F217" s="35">
        <v>6.5030822264264361E-3</v>
      </c>
      <c r="G217" s="35">
        <v>0.10317173140566337</v>
      </c>
      <c r="H217" s="35">
        <v>-0.10699366219372718</v>
      </c>
      <c r="I217" s="35">
        <v>4.8924534498628186E-2</v>
      </c>
      <c r="J217" s="35">
        <v>7.3603215812997905E-2</v>
      </c>
      <c r="K217" s="35">
        <v>0.13788527020703131</v>
      </c>
    </row>
    <row r="218" spans="1:11" x14ac:dyDescent="0.2">
      <c r="A218" s="33">
        <v>43038</v>
      </c>
      <c r="B218" s="35">
        <v>0.19189143385325566</v>
      </c>
      <c r="C218" s="35">
        <v>-6.8434361312060387E-3</v>
      </c>
      <c r="D218" s="35">
        <v>0.12917274527305778</v>
      </c>
      <c r="E218" s="35">
        <v>5.4466036997520999E-2</v>
      </c>
      <c r="F218" s="35">
        <v>9.8332681356572291E-2</v>
      </c>
      <c r="G218" s="35">
        <v>0.13699972271370828</v>
      </c>
      <c r="H218" s="35">
        <v>-3.2973584659356542E-2</v>
      </c>
      <c r="I218" s="35">
        <v>-1.0687453872475595E-2</v>
      </c>
      <c r="J218" s="35">
        <v>-1.567816729320614E-3</v>
      </c>
      <c r="K218" s="35">
        <v>7.9290361069756204E-2</v>
      </c>
    </row>
    <row r="219" spans="1:11" x14ac:dyDescent="0.2">
      <c r="A219" s="33">
        <v>43039</v>
      </c>
      <c r="B219" s="35">
        <v>0.27560234856776328</v>
      </c>
      <c r="C219" s="35">
        <v>0.1878868358882142</v>
      </c>
      <c r="D219" s="35">
        <v>0.11747977530010939</v>
      </c>
      <c r="E219" s="35">
        <v>0.11392809006671251</v>
      </c>
      <c r="F219" s="35">
        <v>0.14839890131670297</v>
      </c>
      <c r="G219" s="35">
        <v>0.1375990513758964</v>
      </c>
      <c r="H219" s="35">
        <v>4.8019980092302995E-2</v>
      </c>
      <c r="I219" s="35">
        <v>0.17905637416268197</v>
      </c>
      <c r="J219" s="35">
        <v>0.10418521937899586</v>
      </c>
      <c r="K219" s="35">
        <v>0.26155177829701215</v>
      </c>
    </row>
    <row r="220" spans="1:11" x14ac:dyDescent="0.2">
      <c r="A220" s="33">
        <v>43040</v>
      </c>
      <c r="B220" s="35">
        <v>-4.4414440521104701E-2</v>
      </c>
      <c r="C220" s="35">
        <v>3.6714192250587301E-2</v>
      </c>
      <c r="D220" s="35">
        <v>0.15488293155116067</v>
      </c>
      <c r="E220" s="35">
        <v>5.1651217182703511E-2</v>
      </c>
      <c r="F220" s="35">
        <v>8.75721613562572E-2</v>
      </c>
      <c r="G220" s="35">
        <v>0.14812396219302493</v>
      </c>
      <c r="H220" s="35">
        <v>0.14635215107304483</v>
      </c>
      <c r="I220" s="35">
        <v>1.9733704946103124E-2</v>
      </c>
      <c r="J220" s="35">
        <v>5.4245007819351494E-2</v>
      </c>
      <c r="K220" s="35">
        <v>0.11151824259071934</v>
      </c>
    </row>
    <row r="221" spans="1:11" x14ac:dyDescent="0.2">
      <c r="A221" s="33">
        <v>43041</v>
      </c>
      <c r="B221" s="35">
        <v>6.1530027860433968E-2</v>
      </c>
      <c r="C221" s="35">
        <v>0.15996700336766079</v>
      </c>
      <c r="D221" s="35">
        <v>5.2297582561339762E-3</v>
      </c>
      <c r="E221" s="35">
        <v>3.615278122527394E-2</v>
      </c>
      <c r="F221" s="35">
        <v>8.2398733359667811E-2</v>
      </c>
      <c r="G221" s="35">
        <v>0.12649987264679657</v>
      </c>
      <c r="H221" s="35">
        <v>0.11147013812770504</v>
      </c>
      <c r="I221" s="35">
        <v>5.9027842013913562E-2</v>
      </c>
      <c r="J221" s="35">
        <v>4.6129530929192135E-2</v>
      </c>
      <c r="K221" s="35">
        <v>0.15330376611694235</v>
      </c>
    </row>
    <row r="222" spans="1:11" x14ac:dyDescent="0.2">
      <c r="A222" s="33">
        <v>43042</v>
      </c>
      <c r="B222" s="35">
        <v>0.1188048376459418</v>
      </c>
      <c r="C222" s="35">
        <v>0.12437286896647909</v>
      </c>
      <c r="D222" s="35">
        <v>0.14930009055642346</v>
      </c>
      <c r="E222" s="35">
        <v>8.885477171010471E-2</v>
      </c>
      <c r="F222" s="35">
        <v>0.13155229572722277</v>
      </c>
      <c r="G222" s="35">
        <v>0.13723990945327541</v>
      </c>
      <c r="H222" s="35">
        <v>-1.1757570474278766E-2</v>
      </c>
      <c r="I222" s="35">
        <v>4.1225333756714111E-2</v>
      </c>
      <c r="J222" s="35">
        <v>5.1086808887647661E-2</v>
      </c>
      <c r="K222" s="35">
        <v>0.13655321599172979</v>
      </c>
    </row>
    <row r="223" spans="1:11" x14ac:dyDescent="0.2">
      <c r="A223" s="33">
        <v>43045</v>
      </c>
      <c r="B223" s="35">
        <v>0.15960445985649022</v>
      </c>
      <c r="C223" s="35">
        <v>0.27865893914862605</v>
      </c>
      <c r="D223" s="35">
        <v>0.42746409489827364</v>
      </c>
      <c r="E223" s="35">
        <v>0.28790700307141787</v>
      </c>
      <c r="F223" s="35">
        <v>0.32786452823673096</v>
      </c>
      <c r="G223" s="35">
        <v>0.19945257241935174</v>
      </c>
      <c r="H223" s="35">
        <v>0.32459917026671586</v>
      </c>
      <c r="I223" s="35">
        <v>0.1751528374133228</v>
      </c>
      <c r="J223" s="35">
        <v>0.16847565509097906</v>
      </c>
      <c r="K223" s="35">
        <v>0.2522199361670302</v>
      </c>
    </row>
    <row r="224" spans="1:11" x14ac:dyDescent="0.2">
      <c r="A224" s="33">
        <v>43046</v>
      </c>
      <c r="B224" s="35">
        <v>-0.13828186182743443</v>
      </c>
      <c r="C224" s="35">
        <v>-9.8480245716899686E-2</v>
      </c>
      <c r="D224" s="35">
        <v>0.14172394314542308</v>
      </c>
      <c r="E224" s="35">
        <v>-4.2177897825787396E-2</v>
      </c>
      <c r="F224" s="35">
        <v>-9.7629874968834006E-4</v>
      </c>
      <c r="G224" s="35">
        <v>0.11436466225617084</v>
      </c>
      <c r="H224" s="35">
        <v>-4.6022834578793971E-3</v>
      </c>
      <c r="I224" s="35">
        <v>1.041814078627004E-2</v>
      </c>
      <c r="J224" s="35">
        <v>2.1001658160827229E-2</v>
      </c>
      <c r="K224" s="35">
        <v>9.8531861192971679E-2</v>
      </c>
    </row>
    <row r="225" spans="1:11" x14ac:dyDescent="0.2">
      <c r="A225" s="33">
        <v>43047</v>
      </c>
      <c r="B225" s="35">
        <v>-0.2282576256633583</v>
      </c>
      <c r="C225" s="35">
        <v>-0.34042680585823049</v>
      </c>
      <c r="D225" s="35">
        <v>-0.21819950271421065</v>
      </c>
      <c r="E225" s="35">
        <v>-0.2751940118560135</v>
      </c>
      <c r="F225" s="35">
        <v>-0.22785793977347979</v>
      </c>
      <c r="G225" s="35">
        <v>3.8449933332987546E-2</v>
      </c>
      <c r="H225" s="35">
        <v>-0.30880678356786334</v>
      </c>
      <c r="I225" s="35">
        <v>4.2534169851708584E-3</v>
      </c>
      <c r="J225" s="35">
        <v>-1.3868958482774869E-2</v>
      </c>
      <c r="K225" s="35">
        <v>8.842705059627326E-2</v>
      </c>
    </row>
    <row r="226" spans="1:11" x14ac:dyDescent="0.2">
      <c r="A226" s="33">
        <v>43048</v>
      </c>
      <c r="B226" s="35">
        <v>0.14103057050505691</v>
      </c>
      <c r="C226" s="35">
        <v>8.9119165814027887E-2</v>
      </c>
      <c r="D226" s="35">
        <v>0.16612745178592847</v>
      </c>
      <c r="E226" s="35">
        <v>0.10875000416561452</v>
      </c>
      <c r="F226" s="35">
        <v>0.14936537555393162</v>
      </c>
      <c r="G226" s="35">
        <v>0.14296394026046463</v>
      </c>
      <c r="H226" s="35">
        <v>-4.0048501604527151E-4</v>
      </c>
      <c r="I226" s="35">
        <v>4.9857015000023888E-3</v>
      </c>
      <c r="J226" s="35">
        <v>9.4311200768705958E-2</v>
      </c>
      <c r="K226" s="35">
        <v>0.10401578750595966</v>
      </c>
    </row>
    <row r="227" spans="1:11" x14ac:dyDescent="0.2">
      <c r="A227" s="33">
        <v>43049</v>
      </c>
      <c r="B227" s="35">
        <v>2.6791870296155922E-2</v>
      </c>
      <c r="C227" s="35">
        <v>7.0408246273998901E-2</v>
      </c>
      <c r="D227" s="35">
        <v>0.11585437973698491</v>
      </c>
      <c r="E227" s="35">
        <v>5.7388958110694062E-2</v>
      </c>
      <c r="F227" s="35">
        <v>0.10042006605818596</v>
      </c>
      <c r="G227" s="35">
        <v>0.13448634989947891</v>
      </c>
      <c r="H227" s="35">
        <v>9.2576854459804639E-2</v>
      </c>
      <c r="I227" s="35">
        <v>9.6131809611252464E-2</v>
      </c>
      <c r="J227" s="35">
        <v>9.0721836652037688E-2</v>
      </c>
      <c r="K227" s="35">
        <v>0.17230553743450053</v>
      </c>
    </row>
    <row r="228" spans="1:11" x14ac:dyDescent="0.2">
      <c r="A228" s="33">
        <v>43052</v>
      </c>
      <c r="B228" s="35">
        <v>0.33318792005316455</v>
      </c>
      <c r="C228" s="35">
        <v>0.33511469679799377</v>
      </c>
      <c r="D228" s="35">
        <v>0.28992703388347868</v>
      </c>
      <c r="E228" s="35">
        <v>0.28382545951720312</v>
      </c>
      <c r="F228" s="35">
        <v>0.32396945065648408</v>
      </c>
      <c r="G228" s="35">
        <v>0.15932059707749513</v>
      </c>
      <c r="H228" s="35">
        <v>0.20408990381321368</v>
      </c>
      <c r="I228" s="35">
        <v>0.14004046814364235</v>
      </c>
      <c r="J228" s="35">
        <v>0.11540487423781817</v>
      </c>
      <c r="K228" s="35">
        <v>0.21128460567957885</v>
      </c>
    </row>
    <row r="229" spans="1:11" x14ac:dyDescent="0.2">
      <c r="A229" s="33">
        <v>43053</v>
      </c>
      <c r="B229" s="35">
        <v>0.11768752666267336</v>
      </c>
      <c r="C229" s="35">
        <v>0.13304570038435709</v>
      </c>
      <c r="D229" s="35">
        <v>0.20741560768108283</v>
      </c>
      <c r="E229" s="35">
        <v>0.12678632194486816</v>
      </c>
      <c r="F229" s="35">
        <v>0.16539273347172312</v>
      </c>
      <c r="G229" s="35">
        <v>0.15281611131153103</v>
      </c>
      <c r="H229" s="35">
        <v>8.6111355704037107E-2</v>
      </c>
      <c r="I229" s="35">
        <v>0.13611593858770263</v>
      </c>
      <c r="J229" s="35">
        <v>0.11962463156227973</v>
      </c>
      <c r="K229" s="35">
        <v>0.21762194463362444</v>
      </c>
    </row>
    <row r="230" spans="1:11" x14ac:dyDescent="0.2">
      <c r="A230" s="33">
        <v>43054</v>
      </c>
      <c r="B230" s="35">
        <v>0.15290560849466228</v>
      </c>
      <c r="C230" s="35">
        <v>0.25538495151999674</v>
      </c>
      <c r="D230" s="35">
        <v>0.26350693029901157</v>
      </c>
      <c r="E230" s="35">
        <v>0.17903091851997155</v>
      </c>
      <c r="F230" s="35">
        <v>0.21944768733844533</v>
      </c>
      <c r="G230" s="35">
        <v>0.16314245044395323</v>
      </c>
      <c r="H230" s="35">
        <v>0.18394115893010921</v>
      </c>
      <c r="I230" s="35">
        <v>8.9075786589359024E-2</v>
      </c>
      <c r="J230" s="35">
        <v>8.0593732475450305E-2</v>
      </c>
      <c r="K230" s="35">
        <v>0.17726771567798427</v>
      </c>
    </row>
    <row r="231" spans="1:11" x14ac:dyDescent="0.2">
      <c r="A231" s="33">
        <v>43055</v>
      </c>
      <c r="B231" s="35">
        <v>0.19914258580352598</v>
      </c>
      <c r="C231" s="35">
        <v>0.20739301561545023</v>
      </c>
      <c r="D231" s="35">
        <v>0.1508814412963429</v>
      </c>
      <c r="E231" s="35">
        <v>0.15309886469215853</v>
      </c>
      <c r="F231" s="35">
        <v>0.18923152012550948</v>
      </c>
      <c r="G231" s="35">
        <v>0.17358677380308854</v>
      </c>
      <c r="H231" s="35">
        <v>5.3340328648096166E-2</v>
      </c>
      <c r="I231" s="35">
        <v>-7.8227332283786352E-2</v>
      </c>
      <c r="J231" s="35">
        <v>0.10895561512950701</v>
      </c>
      <c r="K231" s="35">
        <v>4.7799544548639501E-2</v>
      </c>
    </row>
    <row r="232" spans="1:11" x14ac:dyDescent="0.2">
      <c r="A232" s="33">
        <v>43056</v>
      </c>
      <c r="B232" s="35">
        <v>-2.60991089219074E-2</v>
      </c>
      <c r="C232" s="35">
        <v>2.9213559076973445E-2</v>
      </c>
      <c r="D232" s="35">
        <v>0.1630802248671632</v>
      </c>
      <c r="E232" s="35">
        <v>1.8326606886412335E-2</v>
      </c>
      <c r="F232" s="35">
        <v>5.7526185773685574E-2</v>
      </c>
      <c r="G232" s="35">
        <v>0.15443555458170893</v>
      </c>
      <c r="H232" s="35">
        <v>0.12976913088740688</v>
      </c>
      <c r="I232" s="35">
        <v>1.7707032110907624E-2</v>
      </c>
      <c r="J232" s="35">
        <v>6.5135700492839593E-2</v>
      </c>
      <c r="K232" s="35">
        <v>0.11028544524942471</v>
      </c>
    </row>
    <row r="233" spans="1:11" x14ac:dyDescent="0.2">
      <c r="A233" s="33">
        <v>43059</v>
      </c>
      <c r="B233" s="35">
        <v>-0.14918766108728432</v>
      </c>
      <c r="C233" s="35">
        <v>-4.4291636581065767E-2</v>
      </c>
      <c r="D233" s="35">
        <v>0.10713896499640814</v>
      </c>
      <c r="E233" s="35">
        <v>-1.7738508163363104E-2</v>
      </c>
      <c r="F233" s="35">
        <v>2.0465136695352593E-2</v>
      </c>
      <c r="G233" s="35">
        <v>0.13056896421582134</v>
      </c>
      <c r="H233" s="35">
        <v>1.5620826869733729E-2</v>
      </c>
      <c r="I233" s="35">
        <v>0.19126998459445718</v>
      </c>
      <c r="J233" s="35">
        <v>5.7413584586521058E-2</v>
      </c>
      <c r="K233" s="35">
        <v>0.24371691612028099</v>
      </c>
    </row>
    <row r="234" spans="1:11" x14ac:dyDescent="0.2">
      <c r="A234" s="33">
        <v>43060</v>
      </c>
      <c r="B234" s="35">
        <v>0.10071852749389276</v>
      </c>
      <c r="C234" s="35">
        <v>0.10750843618084521</v>
      </c>
      <c r="D234" s="35">
        <v>0.15992428463751729</v>
      </c>
      <c r="E234" s="35">
        <v>0.12705653603426492</v>
      </c>
      <c r="F234" s="35">
        <v>0.17265149764411841</v>
      </c>
      <c r="G234" s="35">
        <v>0.162441115479555</v>
      </c>
      <c r="H234" s="35">
        <v>-3.4233805338772585E-2</v>
      </c>
      <c r="I234" s="35">
        <v>5.497348127003801E-2</v>
      </c>
      <c r="J234" s="35">
        <v>5.4038212925485253E-2</v>
      </c>
      <c r="K234" s="35">
        <v>0.14419783064945679</v>
      </c>
    </row>
    <row r="235" spans="1:11" x14ac:dyDescent="0.2">
      <c r="A235" s="33">
        <v>43061</v>
      </c>
      <c r="B235" s="35">
        <v>0.17902993945666065</v>
      </c>
      <c r="C235" s="35">
        <v>0.17772400210554506</v>
      </c>
      <c r="D235" s="35">
        <v>0.23682226759754663</v>
      </c>
      <c r="E235" s="35">
        <v>0.15602466165850856</v>
      </c>
      <c r="F235" s="35">
        <v>0.19805178238829077</v>
      </c>
      <c r="G235" s="35">
        <v>0.1466274765973527</v>
      </c>
      <c r="H235" s="35">
        <v>0.11740676985295201</v>
      </c>
      <c r="I235" s="35">
        <v>-7.5318250444094221E-3</v>
      </c>
      <c r="J235" s="35">
        <v>5.1522919320950308E-2</v>
      </c>
      <c r="K235" s="35">
        <v>8.7723620030870364E-2</v>
      </c>
    </row>
    <row r="236" spans="1:11" x14ac:dyDescent="0.2">
      <c r="A236" s="33">
        <v>43062</v>
      </c>
      <c r="B236" s="35">
        <v>3.8318670696973464E-2</v>
      </c>
      <c r="C236" s="35">
        <v>-0.10178659928723838</v>
      </c>
      <c r="D236" s="35">
        <v>-2.7063249027985257E-2</v>
      </c>
      <c r="E236" s="35">
        <v>-5.0634457234053423E-2</v>
      </c>
      <c r="F236" s="35">
        <v>-1.2114068728746629E-2</v>
      </c>
      <c r="G236" s="35">
        <v>5.5186385387672045E-2</v>
      </c>
      <c r="H236" s="35">
        <v>4.4693223324437932E-2</v>
      </c>
      <c r="I236" s="35">
        <v>4.2978470677139745E-2</v>
      </c>
      <c r="J236" s="35">
        <v>5.4442694481865797E-2</v>
      </c>
      <c r="K236" s="35">
        <v>0.12092169386005609</v>
      </c>
    </row>
    <row r="237" spans="1:11" x14ac:dyDescent="0.2">
      <c r="A237" s="33">
        <v>43063</v>
      </c>
      <c r="B237" s="35">
        <v>0.16271961265766502</v>
      </c>
      <c r="C237" s="35">
        <v>8.0791283206975803E-2</v>
      </c>
      <c r="D237" s="35">
        <v>-3.6952900261842149E-2</v>
      </c>
      <c r="E237" s="35">
        <v>4.3701880476270556E-2</v>
      </c>
      <c r="F237" s="35">
        <v>8.247279437678634E-2</v>
      </c>
      <c r="G237" s="35">
        <v>9.3554478327404919E-2</v>
      </c>
      <c r="H237" s="35">
        <v>-3.0010857988274867E-2</v>
      </c>
      <c r="I237" s="35">
        <v>1.5277174448226103E-2</v>
      </c>
      <c r="J237" s="35">
        <v>7.3481699396638525E-2</v>
      </c>
      <c r="K237" s="35">
        <v>0.11007963195930512</v>
      </c>
    </row>
    <row r="238" spans="1:11" x14ac:dyDescent="0.2">
      <c r="A238" s="33">
        <v>43066</v>
      </c>
      <c r="B238" s="35">
        <v>6.7054933870572694E-2</v>
      </c>
      <c r="C238" s="35">
        <v>2.4465076293407471E-2</v>
      </c>
      <c r="D238" s="35">
        <v>6.2517985479037197E-2</v>
      </c>
      <c r="E238" s="35">
        <v>1.0160897707277659E-2</v>
      </c>
      <c r="F238" s="35">
        <v>5.7545109712382379E-2</v>
      </c>
      <c r="G238" s="35">
        <v>0.11765852361347465</v>
      </c>
      <c r="H238" s="35">
        <v>-1.3962067039688126E-2</v>
      </c>
      <c r="I238" s="35">
        <v>5.9147725437756447E-3</v>
      </c>
      <c r="J238" s="35">
        <v>7.6922087290125535E-2</v>
      </c>
      <c r="K238" s="35">
        <v>0.10092076540417545</v>
      </c>
    </row>
    <row r="239" spans="1:11" x14ac:dyDescent="0.2">
      <c r="A239" s="33">
        <v>43067</v>
      </c>
      <c r="B239" s="35">
        <v>-0.17683155493941033</v>
      </c>
      <c r="C239" s="35">
        <v>-0.28623254878032028</v>
      </c>
      <c r="D239" s="35">
        <v>-6.095590582343207E-2</v>
      </c>
      <c r="E239" s="35">
        <v>-0.25421754713391315</v>
      </c>
      <c r="F239" s="35">
        <v>-0.21332456218397336</v>
      </c>
      <c r="G239" s="35">
        <v>7.3001161499698472E-2</v>
      </c>
      <c r="H239" s="35">
        <v>-0.14263626738231272</v>
      </c>
      <c r="I239" s="35">
        <v>-1.355749521972278E-3</v>
      </c>
      <c r="J239" s="35">
        <v>5.8392085175500319E-2</v>
      </c>
      <c r="K239" s="35">
        <v>8.6562667503554014E-2</v>
      </c>
    </row>
    <row r="240" spans="1:11" x14ac:dyDescent="0.2">
      <c r="A240" s="33">
        <v>43068</v>
      </c>
      <c r="B240" s="35">
        <v>0.15167232834586625</v>
      </c>
      <c r="C240" s="35">
        <v>0.13656952129814834</v>
      </c>
      <c r="D240" s="35">
        <v>0.25489367252339773</v>
      </c>
      <c r="E240" s="35">
        <v>0.15755470311662653</v>
      </c>
      <c r="F240" s="35">
        <v>0.19715654498837087</v>
      </c>
      <c r="G240" s="35">
        <v>0.16938880228103825</v>
      </c>
      <c r="H240" s="35">
        <v>7.9164606082221506E-2</v>
      </c>
      <c r="I240" s="35">
        <v>0.11054244118535114</v>
      </c>
      <c r="J240" s="35">
        <v>4.4933426679876515E-2</v>
      </c>
      <c r="K240" s="35">
        <v>0.1899718790807898</v>
      </c>
    </row>
    <row r="241" spans="1:11" x14ac:dyDescent="0.2">
      <c r="A241" s="33">
        <v>43069</v>
      </c>
      <c r="B241" s="35">
        <v>0.35755329600655272</v>
      </c>
      <c r="C241" s="35">
        <v>0.40582344705849105</v>
      </c>
      <c r="D241" s="35">
        <v>0.45617608417013911</v>
      </c>
      <c r="E241" s="35">
        <v>0.31277914881487706</v>
      </c>
      <c r="F241" s="35">
        <v>0.34884971528398828</v>
      </c>
      <c r="G241" s="35">
        <v>0.21758398692444453</v>
      </c>
      <c r="H241" s="35">
        <v>0.27721299047052844</v>
      </c>
      <c r="I241" s="35">
        <v>0.11179925697210992</v>
      </c>
      <c r="J241" s="35">
        <v>0.1733000052914121</v>
      </c>
      <c r="K241" s="35">
        <v>0.20738699528617252</v>
      </c>
    </row>
    <row r="242" spans="1:11" x14ac:dyDescent="0.2">
      <c r="A242" s="33">
        <v>43070</v>
      </c>
      <c r="B242" s="35">
        <v>0.13108497783746736</v>
      </c>
      <c r="C242" s="35">
        <v>3.5391549927919631E-2</v>
      </c>
      <c r="D242" s="35">
        <v>1.1199866981495195E-2</v>
      </c>
      <c r="E242" s="35">
        <v>6.3709189581835366E-3</v>
      </c>
      <c r="F242" s="35">
        <v>5.4350691799906009E-2</v>
      </c>
      <c r="G242" s="35">
        <v>0.10589229381957974</v>
      </c>
      <c r="H242" s="35">
        <v>-6.7766580346909676E-3</v>
      </c>
      <c r="I242" s="35">
        <v>0.10571368022701584</v>
      </c>
      <c r="J242" s="35">
        <v>8.4683870462877356E-2</v>
      </c>
      <c r="K242" s="35">
        <v>0.19391045910181876</v>
      </c>
    </row>
    <row r="243" spans="1:11" x14ac:dyDescent="0.2">
      <c r="A243" s="33">
        <v>43073</v>
      </c>
      <c r="B243" s="35">
        <v>2.3856869307943961E-2</v>
      </c>
      <c r="C243" s="35">
        <v>-3.5930271461585082E-2</v>
      </c>
      <c r="D243" s="35">
        <v>8.1907827758987931E-2</v>
      </c>
      <c r="E243" s="35">
        <v>2.5189744139775126E-3</v>
      </c>
      <c r="F243" s="35">
        <v>4.1721977995508218E-2</v>
      </c>
      <c r="G243" s="35">
        <v>0.13364515259267401</v>
      </c>
      <c r="H243" s="35">
        <v>-4.1708838719165843E-2</v>
      </c>
      <c r="I243" s="35">
        <v>6.692114475365224E-2</v>
      </c>
      <c r="J243" s="35">
        <v>0.10568617051147448</v>
      </c>
      <c r="K243" s="35">
        <v>0.15705701443800238</v>
      </c>
    </row>
    <row r="244" spans="1:11" x14ac:dyDescent="0.2">
      <c r="A244" s="33">
        <v>43074</v>
      </c>
      <c r="B244" s="35">
        <v>0.20371555820125742</v>
      </c>
      <c r="C244" s="35">
        <v>8.3429639288168725E-2</v>
      </c>
      <c r="D244" s="35">
        <v>0.30167097911604179</v>
      </c>
      <c r="E244" s="35">
        <v>0.17060751429697835</v>
      </c>
      <c r="F244" s="35">
        <v>0.20956795389992844</v>
      </c>
      <c r="G244" s="35">
        <v>0.15273679463393197</v>
      </c>
      <c r="H244" s="35">
        <v>0.17731578613773971</v>
      </c>
      <c r="I244" s="35">
        <v>-1.2559776039238276E-2</v>
      </c>
      <c r="J244" s="35">
        <v>6.7419556940141082E-2</v>
      </c>
      <c r="K244" s="35">
        <v>7.5845305187797113E-2</v>
      </c>
    </row>
    <row r="245" spans="1:11" x14ac:dyDescent="0.2">
      <c r="A245" s="33">
        <v>43075</v>
      </c>
      <c r="B245" s="35">
        <v>0.12828451279208661</v>
      </c>
      <c r="C245" s="35">
        <v>6.1056744144008773E-2</v>
      </c>
      <c r="D245" s="35">
        <v>-6.240232692817075E-2</v>
      </c>
      <c r="E245" s="35">
        <v>-1.3895282639664577E-2</v>
      </c>
      <c r="F245" s="35">
        <v>2.7568880316749714E-2</v>
      </c>
      <c r="G245" s="35">
        <v>8.1628081258122431E-2</v>
      </c>
      <c r="H245" s="35">
        <v>0.16547779328689577</v>
      </c>
      <c r="I245" s="35">
        <v>0.14595994754815986</v>
      </c>
      <c r="J245" s="35">
        <v>0.11972297218918553</v>
      </c>
      <c r="K245" s="35">
        <v>0.22832173207592563</v>
      </c>
    </row>
    <row r="246" spans="1:11" x14ac:dyDescent="0.2">
      <c r="A246" s="33">
        <v>43076</v>
      </c>
      <c r="B246" s="35">
        <v>8.3581871963629345E-2</v>
      </c>
      <c r="C246" s="35">
        <v>-6.0607232840638126E-2</v>
      </c>
      <c r="D246" s="35">
        <v>0.16231484553829306</v>
      </c>
      <c r="E246" s="35">
        <v>3.512996403693739E-2</v>
      </c>
      <c r="F246" s="35">
        <v>7.2712210282445539E-2</v>
      </c>
      <c r="G246" s="35">
        <v>0.14407236615322833</v>
      </c>
      <c r="H246" s="35">
        <v>-3.8555574929937844E-2</v>
      </c>
      <c r="I246" s="35">
        <v>2.256688056689107E-2</v>
      </c>
      <c r="J246" s="35">
        <v>1.7087725951410573E-2</v>
      </c>
      <c r="K246" s="35">
        <v>0.10803215116294233</v>
      </c>
    </row>
    <row r="247" spans="1:11" x14ac:dyDescent="0.2">
      <c r="A247" s="33">
        <v>43077</v>
      </c>
      <c r="B247" s="35">
        <v>0.12720913184518456</v>
      </c>
      <c r="C247" s="35">
        <v>-1.8660321160674382E-4</v>
      </c>
      <c r="D247" s="35">
        <v>0.22624282935864193</v>
      </c>
      <c r="E247" s="35">
        <v>7.4340708659958191E-2</v>
      </c>
      <c r="F247" s="35">
        <v>0.11280653389259261</v>
      </c>
      <c r="G247" s="35">
        <v>0.13525669172007415</v>
      </c>
      <c r="H247" s="35">
        <v>-3.3858436832728205E-2</v>
      </c>
      <c r="I247" s="35">
        <v>1.5604550061236372E-2</v>
      </c>
      <c r="J247" s="35">
        <v>3.1709349607472875E-2</v>
      </c>
      <c r="K247" s="35">
        <v>9.3672862718697236E-2</v>
      </c>
    </row>
    <row r="248" spans="1:11" x14ac:dyDescent="0.2">
      <c r="A248" s="33">
        <v>43080</v>
      </c>
      <c r="B248" s="35">
        <v>2.5032600385808961E-3</v>
      </c>
      <c r="C248" s="35">
        <v>-0.1482927467110825</v>
      </c>
      <c r="D248" s="35">
        <v>-5.9407133286959464E-2</v>
      </c>
      <c r="E248" s="35">
        <v>-5.7620080319752486E-2</v>
      </c>
      <c r="F248" s="35">
        <v>-1.7949857884680582E-2</v>
      </c>
      <c r="G248" s="35">
        <v>7.5944948267629792E-2</v>
      </c>
      <c r="H248" s="35">
        <v>-0.12475929549832866</v>
      </c>
      <c r="I248" s="35">
        <v>6.5039493567440862E-2</v>
      </c>
      <c r="J248" s="35">
        <v>4.8664928983266818E-2</v>
      </c>
      <c r="K248" s="35">
        <v>0.15711045377126145</v>
      </c>
    </row>
    <row r="249" spans="1:11" x14ac:dyDescent="0.2">
      <c r="A249" s="33">
        <v>43081</v>
      </c>
      <c r="B249" s="35">
        <v>5.2097118321447242E-2</v>
      </c>
      <c r="C249" s="35">
        <v>-0.17559290191270532</v>
      </c>
      <c r="D249" s="35">
        <v>0.13098450589078425</v>
      </c>
      <c r="E249" s="35">
        <v>-3.5843429892963408E-2</v>
      </c>
      <c r="F249" s="35">
        <v>-1.8825790888614177E-3</v>
      </c>
      <c r="G249" s="35">
        <v>0.13186709648966116</v>
      </c>
      <c r="H249" s="35">
        <v>-0.13088847310875043</v>
      </c>
      <c r="I249" s="35">
        <v>-9.1045122666834732E-2</v>
      </c>
      <c r="J249" s="35">
        <v>1.0661902632290931E-2</v>
      </c>
      <c r="K249" s="35">
        <v>1.9361699477121624E-3</v>
      </c>
    </row>
    <row r="250" spans="1:11" x14ac:dyDescent="0.2">
      <c r="A250" s="33">
        <v>43082</v>
      </c>
      <c r="B250" s="35">
        <v>0.16572402545464038</v>
      </c>
      <c r="C250" s="35">
        <v>0.19104300122959206</v>
      </c>
      <c r="D250" s="35">
        <v>0.49515761141060011</v>
      </c>
      <c r="E250" s="35">
        <v>0.25074806034307157</v>
      </c>
      <c r="F250" s="35">
        <v>0.29803319711336168</v>
      </c>
      <c r="G250" s="35">
        <v>0.21889660762851168</v>
      </c>
      <c r="H250" s="35">
        <v>0.13875042061052786</v>
      </c>
      <c r="I250" s="35">
        <v>1.1952690601658692E-2</v>
      </c>
      <c r="J250" s="35">
        <v>7.8566727344294471E-2</v>
      </c>
      <c r="K250" s="35">
        <v>8.2909725958238506E-2</v>
      </c>
    </row>
    <row r="251" spans="1:11" x14ac:dyDescent="0.2">
      <c r="A251" s="33">
        <v>43083</v>
      </c>
      <c r="B251" s="35">
        <v>0.40884875226028561</v>
      </c>
      <c r="C251" s="35">
        <v>0.40415548765831527</v>
      </c>
      <c r="D251" s="35">
        <v>0.34519671641380539</v>
      </c>
      <c r="E251" s="35">
        <v>0.31787616588494688</v>
      </c>
      <c r="F251" s="35">
        <v>0.36064529894072545</v>
      </c>
      <c r="G251" s="35">
        <v>0.22294206320709295</v>
      </c>
      <c r="H251" s="35">
        <v>0.29863293805642238</v>
      </c>
      <c r="I251" s="35">
        <v>0.29710775424174035</v>
      </c>
      <c r="J251" s="35">
        <v>0.17471473000227924</v>
      </c>
      <c r="K251" s="35">
        <v>0.35424577488931108</v>
      </c>
    </row>
    <row r="252" spans="1:11" x14ac:dyDescent="0.2">
      <c r="A252" s="33">
        <v>43084</v>
      </c>
      <c r="B252" s="35">
        <v>0.12279562368850588</v>
      </c>
      <c r="C252" s="35">
        <v>4.3901839035167575E-2</v>
      </c>
      <c r="D252" s="35">
        <v>0.13490807562850657</v>
      </c>
      <c r="E252" s="35">
        <v>6.3837362217018773E-2</v>
      </c>
      <c r="F252" s="35">
        <v>0.10834970565924321</v>
      </c>
      <c r="G252" s="35">
        <v>0.13258823589349553</v>
      </c>
      <c r="H252" s="35">
        <v>-1.8084946164805309E-2</v>
      </c>
      <c r="I252" s="35">
        <v>0.11042591470220167</v>
      </c>
      <c r="J252" s="35">
        <v>7.6493879892935948E-2</v>
      </c>
      <c r="K252" s="35">
        <v>0.19266139521606668</v>
      </c>
    </row>
    <row r="253" spans="1:11" x14ac:dyDescent="0.2">
      <c r="A253" s="33">
        <v>43087</v>
      </c>
      <c r="B253" s="35">
        <v>0.13147742281710309</v>
      </c>
      <c r="C253" s="35">
        <v>0.16614674192249576</v>
      </c>
      <c r="D253" s="35">
        <v>0.18567303131184332</v>
      </c>
      <c r="E253" s="35">
        <v>0.13300548998578157</v>
      </c>
      <c r="F253" s="35">
        <v>0.1760719265292372</v>
      </c>
      <c r="G253" s="35">
        <v>0.13816480703752113</v>
      </c>
      <c r="H253" s="35">
        <v>0.12862853564050603</v>
      </c>
      <c r="I253" s="35">
        <v>0.11717711683909282</v>
      </c>
      <c r="J253" s="35">
        <v>0.10101007515483279</v>
      </c>
      <c r="K253" s="35">
        <v>0.19292328407221648</v>
      </c>
    </row>
    <row r="254" spans="1:11" x14ac:dyDescent="0.2">
      <c r="A254" s="33">
        <v>43088</v>
      </c>
      <c r="B254" s="35">
        <v>-0.13364238693288419</v>
      </c>
      <c r="C254" s="35">
        <v>-0.17492687113660962</v>
      </c>
      <c r="D254" s="35">
        <v>7.7172872241213861E-3</v>
      </c>
      <c r="E254" s="35">
        <v>-7.035276065189601E-2</v>
      </c>
      <c r="F254" s="35">
        <v>-2.9272165334623811E-2</v>
      </c>
      <c r="G254" s="35">
        <v>9.9087929687299389E-2</v>
      </c>
      <c r="H254" s="35">
        <v>-0.2535535586097854</v>
      </c>
      <c r="I254" s="35">
        <v>3.8447456431205652E-2</v>
      </c>
      <c r="J254" s="35">
        <v>-1.555592953370195E-2</v>
      </c>
      <c r="K254" s="35">
        <v>0.1100242621028809</v>
      </c>
    </row>
    <row r="255" spans="1:11" x14ac:dyDescent="0.2">
      <c r="A255" s="33">
        <v>43089</v>
      </c>
      <c r="B255" s="35">
        <v>0.1890015158460609</v>
      </c>
      <c r="C255" s="35">
        <v>0.20193428859318152</v>
      </c>
      <c r="D255" s="35">
        <v>0.35321235918584792</v>
      </c>
      <c r="E255" s="35">
        <v>0.19147227752748672</v>
      </c>
      <c r="F255" s="35">
        <v>0.23516147627031778</v>
      </c>
      <c r="G255" s="35">
        <v>0.18973649804312831</v>
      </c>
      <c r="H255" s="35">
        <v>0.15609779031951487</v>
      </c>
      <c r="I255" s="35">
        <v>5.9238043472037656E-2</v>
      </c>
      <c r="J255" s="35">
        <v>0.1504769072020328</v>
      </c>
      <c r="K255" s="35">
        <v>0.15962263295066464</v>
      </c>
    </row>
    <row r="256" spans="1:11" x14ac:dyDescent="0.2">
      <c r="A256" s="33">
        <v>43090</v>
      </c>
      <c r="B256" s="35">
        <v>-0.13857655245865677</v>
      </c>
      <c r="C256" s="35">
        <v>-3.6222519718238977E-2</v>
      </c>
      <c r="D256" s="35">
        <v>-0.12441063234225189</v>
      </c>
      <c r="E256" s="35">
        <v>-7.7541006959578454E-2</v>
      </c>
      <c r="F256" s="35">
        <v>-2.8222212058799157E-2</v>
      </c>
      <c r="G256" s="35">
        <v>9.7809298384806231E-2</v>
      </c>
      <c r="H256" s="35">
        <v>-2.8265958686110086E-2</v>
      </c>
      <c r="I256" s="35">
        <v>0.14804472138973035</v>
      </c>
      <c r="J256" s="35">
        <v>1.8523842594792471E-2</v>
      </c>
      <c r="K256" s="35">
        <v>0.21551143548958199</v>
      </c>
    </row>
    <row r="257" spans="1:11" x14ac:dyDescent="0.2">
      <c r="A257" s="33">
        <v>43091</v>
      </c>
      <c r="B257" s="35">
        <v>-2.9978708026276647E-2</v>
      </c>
      <c r="C257" s="35">
        <v>-0.24504169585916438</v>
      </c>
      <c r="D257" s="35">
        <v>-0.22695910871158403</v>
      </c>
      <c r="E257" s="35">
        <v>-0.15594402211468528</v>
      </c>
      <c r="F257" s="35">
        <v>-0.12101489048230535</v>
      </c>
      <c r="G257" s="35">
        <v>5.499420583947174E-2</v>
      </c>
      <c r="H257" s="35">
        <v>-0.24689917192092367</v>
      </c>
      <c r="I257" s="35">
        <v>-4.1303541952126731E-2</v>
      </c>
      <c r="J257" s="35">
        <v>-2.2928212206505715E-2</v>
      </c>
      <c r="K257" s="35">
        <v>4.9111668480347502E-2</v>
      </c>
    </row>
    <row r="258" spans="1:11" x14ac:dyDescent="0.2">
      <c r="A258" s="33">
        <v>43094</v>
      </c>
      <c r="B258" s="35">
        <v>0.19020975111011593</v>
      </c>
      <c r="C258" s="35">
        <v>0.14199990786826738</v>
      </c>
      <c r="D258" s="35">
        <v>0.22524975248813423</v>
      </c>
      <c r="E258" s="35">
        <v>9.1548705772583672E-2</v>
      </c>
      <c r="F258" s="35">
        <v>0.12854776712744176</v>
      </c>
      <c r="G258" s="35">
        <v>0.15000847738111964</v>
      </c>
      <c r="H258" s="35">
        <v>0.22662367431475985</v>
      </c>
      <c r="I258" s="35">
        <v>0.18461545791789988</v>
      </c>
      <c r="J258" s="35">
        <v>8.4174560234434523E-2</v>
      </c>
      <c r="K258" s="35">
        <v>0.26074351591548284</v>
      </c>
    </row>
    <row r="259" spans="1:11" x14ac:dyDescent="0.2">
      <c r="A259" s="33">
        <v>43095</v>
      </c>
      <c r="B259" s="35">
        <v>9.5884534994721007E-2</v>
      </c>
      <c r="C259" s="35">
        <v>0.10368468506677936</v>
      </c>
      <c r="D259" s="35">
        <v>0.39025335268368372</v>
      </c>
      <c r="E259" s="35">
        <v>0.14965694591626033</v>
      </c>
      <c r="F259" s="35">
        <v>0.1908348711051871</v>
      </c>
      <c r="G259" s="35">
        <v>0.18228658049082982</v>
      </c>
      <c r="H259" s="35">
        <v>5.7695471605786669E-2</v>
      </c>
      <c r="I259" s="35">
        <v>5.4263424345077187E-2</v>
      </c>
      <c r="J259" s="35">
        <v>0.10148624092881356</v>
      </c>
      <c r="K259" s="35">
        <v>0.13205877212535916</v>
      </c>
    </row>
    <row r="260" spans="1:11" x14ac:dyDescent="0.2">
      <c r="A260" s="33">
        <v>43096</v>
      </c>
      <c r="B260" s="35">
        <v>-3.8858452491049161E-2</v>
      </c>
      <c r="C260" s="35">
        <v>-5.2820088322721788E-2</v>
      </c>
      <c r="D260" s="35">
        <v>2.8881161897718985E-2</v>
      </c>
      <c r="E260" s="35">
        <v>-3.2569335642363896E-2</v>
      </c>
      <c r="F260" s="35">
        <v>6.4926132173451483E-3</v>
      </c>
      <c r="G260" s="35">
        <v>0.13416744733018651</v>
      </c>
      <c r="H260" s="35">
        <v>-4.4154526329251736E-2</v>
      </c>
      <c r="I260" s="35">
        <v>7.5412580174166917E-3</v>
      </c>
      <c r="J260" s="35">
        <v>7.0490955680942213E-2</v>
      </c>
      <c r="K260" s="35">
        <v>0.10300829713459758</v>
      </c>
    </row>
    <row r="261" spans="1:11" x14ac:dyDescent="0.2">
      <c r="A261" s="33">
        <v>43097</v>
      </c>
      <c r="B261" s="35">
        <v>0.28550656117244416</v>
      </c>
      <c r="C261" s="35">
        <v>0.16727768584902314</v>
      </c>
      <c r="D261" s="35">
        <v>5.6447993470031287E-2</v>
      </c>
      <c r="E261" s="35">
        <v>0.14094075572534756</v>
      </c>
      <c r="F261" s="35">
        <v>0.16447119767534749</v>
      </c>
      <c r="G261" s="35">
        <v>0.13824768137396731</v>
      </c>
      <c r="H261" s="35">
        <v>0.11674470010347744</v>
      </c>
      <c r="I261" s="35">
        <v>8.7592387721018641E-2</v>
      </c>
      <c r="J261" s="35">
        <v>0.17773194091809943</v>
      </c>
      <c r="K261" s="35">
        <v>0.18257811396938411</v>
      </c>
    </row>
    <row r="262" spans="1:11" x14ac:dyDescent="0.2">
      <c r="A262" s="33">
        <v>43098</v>
      </c>
      <c r="B262" s="35">
        <v>0.18433573041445162</v>
      </c>
      <c r="C262" s="35">
        <v>9.0265339881109727E-2</v>
      </c>
      <c r="D262" s="35">
        <v>0.16574221203322384</v>
      </c>
      <c r="E262" s="35">
        <v>0.10632813216590006</v>
      </c>
      <c r="F262" s="35">
        <v>0.1444994642484872</v>
      </c>
      <c r="G262" s="35">
        <v>0.14703339072398416</v>
      </c>
      <c r="H262" s="35">
        <v>1.6535013257026807E-2</v>
      </c>
      <c r="I262" s="35">
        <v>7.2206939990521718E-2</v>
      </c>
      <c r="J262" s="35">
        <v>7.6038876488900634E-2</v>
      </c>
      <c r="K262" s="35">
        <v>0.1719015777004485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32"/>
  <sheetViews>
    <sheetView workbookViewId="0">
      <selection activeCell="B11" sqref="B11"/>
    </sheetView>
  </sheetViews>
  <sheetFormatPr defaultRowHeight="12.75" x14ac:dyDescent="0.2"/>
  <cols>
    <col min="2" max="2" width="12.140625" customWidth="1"/>
    <col min="3" max="3" width="18.42578125" customWidth="1"/>
    <col min="4" max="5" width="33.42578125" customWidth="1"/>
  </cols>
  <sheetData>
    <row r="3" spans="1:7" ht="39" customHeight="1" x14ac:dyDescent="0.2">
      <c r="B3" s="64" t="s">
        <v>78</v>
      </c>
      <c r="C3" s="64"/>
      <c r="D3" s="65"/>
      <c r="E3" s="65"/>
      <c r="F3" s="48"/>
      <c r="G3" s="48"/>
    </row>
    <row r="5" spans="1:7" x14ac:dyDescent="0.2">
      <c r="B5" s="34" t="s">
        <v>59</v>
      </c>
      <c r="C5" s="34" t="s">
        <v>60</v>
      </c>
    </row>
    <row r="6" spans="1:7" x14ac:dyDescent="0.2">
      <c r="B6" t="s">
        <v>62</v>
      </c>
      <c r="C6" t="s">
        <v>63</v>
      </c>
    </row>
    <row r="7" spans="1:7" x14ac:dyDescent="0.2">
      <c r="B7" t="s">
        <v>64</v>
      </c>
      <c r="C7" t="s">
        <v>65</v>
      </c>
    </row>
    <row r="8" spans="1:7" x14ac:dyDescent="0.2">
      <c r="B8" t="s">
        <v>66</v>
      </c>
      <c r="C8" t="s">
        <v>67</v>
      </c>
    </row>
    <row r="9" spans="1:7" x14ac:dyDescent="0.2">
      <c r="B9" t="s">
        <v>68</v>
      </c>
      <c r="C9" t="s">
        <v>69</v>
      </c>
    </row>
    <row r="10" spans="1:7" x14ac:dyDescent="0.2">
      <c r="B10" t="s">
        <v>105</v>
      </c>
      <c r="C10" t="s">
        <v>70</v>
      </c>
    </row>
    <row r="11" spans="1:7" x14ac:dyDescent="0.2">
      <c r="B11" t="s">
        <v>71</v>
      </c>
      <c r="C11" t="s">
        <v>72</v>
      </c>
    </row>
    <row r="12" spans="1:7" x14ac:dyDescent="0.2">
      <c r="B12" t="s">
        <v>73</v>
      </c>
      <c r="C12" t="s">
        <v>74</v>
      </c>
    </row>
    <row r="13" spans="1:7" x14ac:dyDescent="0.2">
      <c r="A13" t="s">
        <v>61</v>
      </c>
      <c r="B13" t="s">
        <v>41</v>
      </c>
      <c r="C13" t="s">
        <v>54</v>
      </c>
    </row>
    <row r="14" spans="1:7" x14ac:dyDescent="0.2">
      <c r="B14" t="s">
        <v>45</v>
      </c>
      <c r="C14" t="s">
        <v>55</v>
      </c>
    </row>
    <row r="15" spans="1:7" x14ac:dyDescent="0.2">
      <c r="B15" t="s">
        <v>52</v>
      </c>
      <c r="C15" s="47" t="s">
        <v>53</v>
      </c>
    </row>
    <row r="16" spans="1:7" x14ac:dyDescent="0.2">
      <c r="B16" t="s">
        <v>56</v>
      </c>
      <c r="C16" t="s">
        <v>58</v>
      </c>
    </row>
    <row r="20" spans="2:5" x14ac:dyDescent="0.2">
      <c r="B20" s="34" t="s">
        <v>75</v>
      </c>
    </row>
    <row r="21" spans="2:5" x14ac:dyDescent="0.2">
      <c r="B21" s="41" t="s">
        <v>50</v>
      </c>
      <c r="C21" s="42"/>
      <c r="D21" s="39" t="s">
        <v>45</v>
      </c>
      <c r="E21" s="40"/>
    </row>
    <row r="22" spans="2:5" x14ac:dyDescent="0.2">
      <c r="B22" s="45" t="s">
        <v>51</v>
      </c>
      <c r="C22" s="46"/>
      <c r="D22" s="39" t="s">
        <v>76</v>
      </c>
      <c r="E22" s="40" t="b">
        <v>1</v>
      </c>
    </row>
    <row r="23" spans="2:5" x14ac:dyDescent="0.2">
      <c r="B23" s="36" t="s">
        <v>41</v>
      </c>
      <c r="C23" s="36" t="s">
        <v>77</v>
      </c>
      <c r="D23" s="41" t="s">
        <v>48</v>
      </c>
      <c r="E23" s="42" t="s">
        <v>46</v>
      </c>
    </row>
    <row r="24" spans="2:5" x14ac:dyDescent="0.2">
      <c r="B24" s="37"/>
      <c r="C24" s="37" t="s">
        <v>42</v>
      </c>
      <c r="D24" s="43" t="s">
        <v>49</v>
      </c>
      <c r="E24" s="44" t="s">
        <v>47</v>
      </c>
    </row>
    <row r="25" spans="2:5" x14ac:dyDescent="0.2">
      <c r="B25" s="37"/>
      <c r="C25" s="37" t="s">
        <v>43</v>
      </c>
      <c r="D25" s="43" t="s">
        <v>49</v>
      </c>
      <c r="E25" s="44" t="s">
        <v>47</v>
      </c>
    </row>
    <row r="26" spans="2:5" x14ac:dyDescent="0.2">
      <c r="B26" s="38"/>
      <c r="C26" s="38" t="s">
        <v>44</v>
      </c>
      <c r="D26" s="45" t="s">
        <v>57</v>
      </c>
      <c r="E26" s="46" t="s">
        <v>47</v>
      </c>
    </row>
    <row r="28" spans="2:5" x14ac:dyDescent="0.2">
      <c r="B28" s="34" t="s">
        <v>80</v>
      </c>
    </row>
    <row r="29" spans="2:5" x14ac:dyDescent="0.2">
      <c r="B29" t="s">
        <v>84</v>
      </c>
    </row>
    <row r="30" spans="2:5" x14ac:dyDescent="0.2">
      <c r="B30" t="s">
        <v>82</v>
      </c>
    </row>
    <row r="31" spans="2:5" x14ac:dyDescent="0.2">
      <c r="B31" t="s">
        <v>81</v>
      </c>
    </row>
    <row r="32" spans="2:5" x14ac:dyDescent="0.2">
      <c r="B32" t="s">
        <v>83</v>
      </c>
    </row>
  </sheetData>
  <mergeCells count="1">
    <mergeCell ref="B3:E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Sheet3</vt:lpstr>
      <vt:lpstr>Sheet2</vt:lpstr>
      <vt:lpstr>PriceData</vt:lpstr>
      <vt:lpstr>Info</vt:lpstr>
    </vt:vector>
  </TitlesOfParts>
  <Company>Citigroup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Pong, Yue Hin [ICG-RSCH]</dc:creator>
  <cp:lastModifiedBy>Pong, Yue Hin [ICG-RSCH]</cp:lastModifiedBy>
  <cp:lastPrinted>2018-06-29T15:46:47Z</cp:lastPrinted>
  <dcterms:created xsi:type="dcterms:W3CDTF">2013-07-29T13:58:47Z</dcterms:created>
  <dcterms:modified xsi:type="dcterms:W3CDTF">2018-07-06T05:24:28Z</dcterms:modified>
</cp:coreProperties>
</file>