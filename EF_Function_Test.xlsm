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18195" windowHeight="11820"/>
  </bookViews>
  <sheets>
    <sheet name="Sheet1" sheetId="1" r:id="rId1"/>
    <sheet name="Sheet2" sheetId="2" r:id="rId2"/>
    <sheet name="Sheet3" sheetId="3" r:id="rId3"/>
  </sheets>
  <functionGroups builtInGroupCount="17"/>
  <calcPr calcId="145621" calcOnSave="0"/>
</workbook>
</file>

<file path=xl/calcChain.xml><?xml version="1.0" encoding="utf-8"?>
<calcChain xmlns="http://schemas.openxmlformats.org/spreadsheetml/2006/main">
  <c r="R138" i="1" l="1"/>
  <c r="R138" i="1" a="1"/>
  <c r="R137" i="1" a="1"/>
  <c r="R137" i="1" s="1"/>
  <c r="R136" i="1" a="1"/>
  <c r="R136" i="1" s="1"/>
  <c r="R135" i="1" a="1"/>
  <c r="R135" i="1" s="1"/>
  <c r="R134" i="1" a="1"/>
  <c r="R134" i="1" s="1"/>
  <c r="R133" i="1" a="1"/>
  <c r="R133" i="1" s="1"/>
  <c r="R132" i="1" a="1"/>
  <c r="R132" i="1" s="1"/>
  <c r="R131" i="1" a="1"/>
  <c r="R131" i="1" s="1"/>
  <c r="R130" i="1" a="1"/>
  <c r="R130" i="1" s="1"/>
  <c r="R129" i="1" a="1"/>
  <c r="R129" i="1" s="1"/>
  <c r="R128" i="1" a="1"/>
  <c r="R128" i="1" s="1"/>
  <c r="R127" i="1" a="1"/>
  <c r="R127" i="1" s="1"/>
  <c r="R126" i="1" a="1"/>
  <c r="R126" i="1" s="1"/>
  <c r="R125" i="1" a="1"/>
  <c r="R125" i="1" s="1"/>
  <c r="R124" i="1" a="1"/>
  <c r="R124" i="1" s="1"/>
  <c r="R123" i="1" a="1"/>
  <c r="R123" i="1" s="1"/>
  <c r="R122" i="1" a="1"/>
  <c r="R122" i="1" s="1"/>
  <c r="R121" i="1" a="1"/>
  <c r="R121" i="1" s="1"/>
  <c r="R120" i="1" a="1"/>
  <c r="R120" i="1" s="1"/>
  <c r="R119" i="1" a="1"/>
  <c r="R119" i="1" s="1"/>
  <c r="R118" i="1" a="1"/>
  <c r="R118" i="1" s="1"/>
  <c r="R117" i="1" a="1"/>
  <c r="R117" i="1" s="1"/>
  <c r="R116" i="1" a="1"/>
  <c r="R116" i="1" s="1"/>
  <c r="R115" i="1" a="1"/>
  <c r="R115" i="1" s="1"/>
  <c r="R114" i="1" a="1"/>
  <c r="R114" i="1" s="1"/>
  <c r="R113" i="1" a="1"/>
  <c r="R113" i="1" s="1"/>
  <c r="R112" i="1" a="1"/>
  <c r="R112" i="1" s="1"/>
  <c r="R111" i="1" a="1"/>
  <c r="R111" i="1" s="1"/>
  <c r="R110" i="1" a="1"/>
  <c r="R110" i="1" s="1"/>
  <c r="R109" i="1" a="1"/>
  <c r="R109" i="1" s="1"/>
  <c r="R108" i="1" a="1"/>
  <c r="R108" i="1" s="1"/>
  <c r="R107" i="1" a="1"/>
  <c r="R107" i="1" s="1"/>
  <c r="R106" i="1" a="1"/>
  <c r="R106" i="1" s="1"/>
  <c r="R105" i="1" a="1"/>
  <c r="R105" i="1" s="1"/>
  <c r="R104" i="1" a="1"/>
  <c r="R104" i="1" s="1"/>
  <c r="R103" i="1" a="1"/>
  <c r="R103" i="1" s="1"/>
  <c r="R102" i="1" a="1"/>
  <c r="R102" i="1" s="1"/>
  <c r="R101" i="1" a="1"/>
  <c r="R101" i="1" s="1"/>
  <c r="R100" i="1" a="1"/>
  <c r="R100" i="1" s="1"/>
  <c r="R99" i="1" a="1"/>
  <c r="R99" i="1" s="1"/>
  <c r="R98" i="1" a="1"/>
  <c r="R98" i="1" s="1"/>
  <c r="R97" i="1" a="1"/>
  <c r="R97" i="1" s="1"/>
  <c r="R96" i="1" a="1"/>
  <c r="R96" i="1" s="1"/>
  <c r="R95" i="1" a="1"/>
  <c r="R95" i="1" s="1"/>
  <c r="R94" i="1" a="1"/>
  <c r="R94" i="1" s="1"/>
  <c r="R93" i="1" a="1"/>
  <c r="R93" i="1" s="1"/>
  <c r="R92" i="1" a="1"/>
  <c r="R92" i="1" s="1"/>
  <c r="R91" i="1" a="1"/>
  <c r="R91" i="1" s="1"/>
  <c r="R90" i="1" a="1"/>
  <c r="R90" i="1" s="1"/>
  <c r="R89" i="1" a="1"/>
  <c r="R89" i="1" s="1"/>
  <c r="R88" i="1" a="1"/>
  <c r="R88" i="1" s="1"/>
  <c r="R87" i="1" a="1"/>
  <c r="R87" i="1" s="1"/>
  <c r="R86" i="1" a="1"/>
  <c r="R86" i="1" s="1"/>
  <c r="R85" i="1" a="1"/>
  <c r="R85" i="1" s="1"/>
  <c r="R84" i="1" a="1"/>
  <c r="R84" i="1" s="1"/>
  <c r="R83" i="1" a="1"/>
  <c r="R83" i="1" s="1"/>
  <c r="R82" i="1" a="1"/>
  <c r="R82" i="1" s="1"/>
  <c r="R81" i="1" a="1"/>
  <c r="R81" i="1" s="1"/>
  <c r="R80" i="1" a="1"/>
  <c r="R80" i="1" s="1"/>
  <c r="R79" i="1" a="1"/>
  <c r="R79" i="1" s="1"/>
  <c r="R78" i="1" a="1"/>
  <c r="R78" i="1" s="1"/>
  <c r="R77" i="1" a="1"/>
  <c r="R77" i="1" s="1"/>
  <c r="R76" i="1" a="1"/>
  <c r="R76" i="1" s="1"/>
  <c r="R75" i="1" a="1"/>
  <c r="R75" i="1" s="1"/>
  <c r="R74" i="1" a="1"/>
  <c r="R74" i="1" s="1"/>
  <c r="R73" i="1" a="1"/>
  <c r="R73" i="1" s="1"/>
  <c r="R72" i="1" a="1"/>
  <c r="R72" i="1" s="1"/>
  <c r="R71" i="1" a="1"/>
  <c r="R71" i="1" s="1"/>
  <c r="R70" i="1" a="1"/>
  <c r="R70" i="1" s="1"/>
  <c r="R69" i="1" a="1"/>
  <c r="R69" i="1" s="1"/>
  <c r="R68" i="1" a="1"/>
  <c r="R68" i="1" s="1"/>
  <c r="R67" i="1" a="1"/>
  <c r="R67" i="1" s="1"/>
  <c r="R66" i="1" a="1"/>
  <c r="R66" i="1" s="1"/>
  <c r="R65" i="1" a="1"/>
  <c r="R65" i="1" s="1"/>
  <c r="R64" i="1" a="1"/>
  <c r="R64" i="1" s="1"/>
  <c r="R63" i="1" a="1"/>
  <c r="R63" i="1" s="1"/>
  <c r="R62" i="1" a="1"/>
  <c r="R62" i="1" s="1"/>
  <c r="R61" i="1" a="1"/>
  <c r="R61" i="1" s="1"/>
  <c r="R60" i="1" a="1"/>
  <c r="R60" i="1" s="1"/>
  <c r="R59" i="1" a="1"/>
  <c r="R59" i="1" s="1"/>
  <c r="R58" i="1" a="1"/>
  <c r="R58" i="1" s="1"/>
  <c r="R57" i="1" a="1"/>
  <c r="R57" i="1" s="1"/>
  <c r="R56" i="1" a="1"/>
  <c r="R56" i="1" s="1"/>
  <c r="R55" i="1" a="1"/>
  <c r="R55" i="1" s="1"/>
  <c r="R54" i="1" a="1"/>
  <c r="R54" i="1" s="1"/>
  <c r="R53" i="1" a="1"/>
  <c r="R53" i="1" s="1"/>
  <c r="R52" i="1" a="1"/>
  <c r="R52" i="1" s="1"/>
  <c r="R51" i="1" a="1"/>
  <c r="R51" i="1" s="1"/>
  <c r="R50" i="1" a="1"/>
  <c r="R50" i="1" s="1"/>
  <c r="R49" i="1" a="1"/>
  <c r="R49" i="1" s="1"/>
  <c r="R48" i="1" a="1"/>
  <c r="R48" i="1" s="1"/>
  <c r="R47" i="1" a="1"/>
  <c r="R47" i="1" s="1"/>
  <c r="R46" i="1" a="1"/>
  <c r="R46" i="1" s="1"/>
  <c r="R45" i="1" a="1"/>
  <c r="R45" i="1" s="1"/>
  <c r="R44" i="1" a="1"/>
  <c r="R44" i="1" s="1"/>
  <c r="R43" i="1" a="1"/>
  <c r="R43" i="1" s="1"/>
  <c r="R42" i="1" a="1"/>
  <c r="R42" i="1" s="1"/>
  <c r="R41" i="1" a="1"/>
  <c r="R41" i="1" s="1"/>
  <c r="R40" i="1" a="1"/>
  <c r="R40" i="1" s="1"/>
  <c r="R39" i="1" a="1"/>
  <c r="R39" i="1" s="1"/>
  <c r="R38" i="1" a="1"/>
  <c r="R38" i="1" s="1"/>
  <c r="R37" i="1" a="1"/>
  <c r="R37" i="1" s="1"/>
  <c r="R36" i="1" a="1"/>
  <c r="R36" i="1" s="1"/>
  <c r="R35" i="1" a="1"/>
  <c r="R35" i="1" s="1"/>
  <c r="S138" i="1" a="1"/>
  <c r="S138" i="1" s="1"/>
  <c r="S137" i="1"/>
  <c r="S137" i="1" a="1"/>
  <c r="S136" i="1" a="1"/>
  <c r="S136" i="1" s="1"/>
  <c r="S135" i="1"/>
  <c r="S135" i="1" a="1"/>
  <c r="S134" i="1" a="1"/>
  <c r="S134" i="1" s="1"/>
  <c r="S133" i="1"/>
  <c r="S133" i="1" a="1"/>
  <c r="S132" i="1" a="1"/>
  <c r="S132" i="1" s="1"/>
  <c r="S131" i="1"/>
  <c r="S131" i="1" a="1"/>
  <c r="S130" i="1" a="1"/>
  <c r="S130" i="1" s="1"/>
  <c r="S129" i="1" a="1"/>
  <c r="S129" i="1" s="1"/>
  <c r="S128" i="1" a="1"/>
  <c r="S128" i="1" s="1"/>
  <c r="S127" i="1" a="1"/>
  <c r="S127" i="1" s="1"/>
  <c r="S126" i="1" a="1"/>
  <c r="S126" i="1" s="1"/>
  <c r="S125" i="1" a="1"/>
  <c r="S125" i="1" s="1"/>
  <c r="S124" i="1" a="1"/>
  <c r="S124" i="1" s="1"/>
  <c r="S123" i="1" a="1"/>
  <c r="S123" i="1" s="1"/>
  <c r="S122" i="1" a="1"/>
  <c r="S122" i="1" s="1"/>
  <c r="S121" i="1" a="1"/>
  <c r="S121" i="1" s="1"/>
  <c r="S120" i="1" a="1"/>
  <c r="S120" i="1" s="1"/>
  <c r="S119" i="1" a="1"/>
  <c r="S119" i="1" s="1"/>
  <c r="S118" i="1" a="1"/>
  <c r="S118" i="1" s="1"/>
  <c r="S117" i="1" a="1"/>
  <c r="S117" i="1" s="1"/>
  <c r="S116" i="1" a="1"/>
  <c r="S116" i="1" s="1"/>
  <c r="S115" i="1" a="1"/>
  <c r="S115" i="1" s="1"/>
  <c r="S114" i="1" a="1"/>
  <c r="S114" i="1" s="1"/>
  <c r="S113" i="1" a="1"/>
  <c r="S113" i="1" s="1"/>
  <c r="S112" i="1" a="1"/>
  <c r="S112" i="1" s="1"/>
  <c r="S111" i="1" a="1"/>
  <c r="S111" i="1" s="1"/>
  <c r="S110" i="1" a="1"/>
  <c r="S110" i="1" s="1"/>
  <c r="S109" i="1" a="1"/>
  <c r="S109" i="1" s="1"/>
  <c r="S108" i="1" a="1"/>
  <c r="S108" i="1" s="1"/>
  <c r="S107" i="1" a="1"/>
  <c r="S107" i="1" s="1"/>
  <c r="S106" i="1" a="1"/>
  <c r="S106" i="1" s="1"/>
  <c r="S105" i="1" a="1"/>
  <c r="S105" i="1" s="1"/>
  <c r="S104" i="1" a="1"/>
  <c r="S104" i="1" s="1"/>
  <c r="S103" i="1" a="1"/>
  <c r="S103" i="1" s="1"/>
  <c r="S102" i="1" a="1"/>
  <c r="S102" i="1" s="1"/>
  <c r="S101" i="1" a="1"/>
  <c r="S101" i="1" s="1"/>
  <c r="S100" i="1" a="1"/>
  <c r="S100" i="1" s="1"/>
  <c r="S99" i="1" a="1"/>
  <c r="S99" i="1" s="1"/>
  <c r="S98" i="1" a="1"/>
  <c r="S98" i="1" s="1"/>
  <c r="S97" i="1" a="1"/>
  <c r="S97" i="1" s="1"/>
  <c r="S96" i="1" a="1"/>
  <c r="S96" i="1" s="1"/>
  <c r="S95" i="1" a="1"/>
  <c r="S95" i="1" s="1"/>
  <c r="S94" i="1" a="1"/>
  <c r="S94" i="1" s="1"/>
  <c r="S93" i="1" a="1"/>
  <c r="S93" i="1" s="1"/>
  <c r="S92" i="1" a="1"/>
  <c r="S92" i="1" s="1"/>
  <c r="S91" i="1" a="1"/>
  <c r="S91" i="1" s="1"/>
  <c r="S90" i="1" a="1"/>
  <c r="S90" i="1" s="1"/>
  <c r="S89" i="1" a="1"/>
  <c r="S89" i="1" s="1"/>
  <c r="S88" i="1" a="1"/>
  <c r="S88" i="1" s="1"/>
  <c r="S87" i="1" a="1"/>
  <c r="S87" i="1" s="1"/>
  <c r="S86" i="1" a="1"/>
  <c r="S86" i="1" s="1"/>
  <c r="S85" i="1" a="1"/>
  <c r="S85" i="1" s="1"/>
  <c r="S84" i="1" a="1"/>
  <c r="S84" i="1" s="1"/>
  <c r="S83" i="1" a="1"/>
  <c r="S83" i="1" s="1"/>
  <c r="S82" i="1" a="1"/>
  <c r="S82" i="1" s="1"/>
  <c r="S81" i="1" a="1"/>
  <c r="S81" i="1" s="1"/>
  <c r="S80" i="1" a="1"/>
  <c r="S80" i="1" s="1"/>
  <c r="S79" i="1" a="1"/>
  <c r="S79" i="1" s="1"/>
  <c r="S78" i="1" a="1"/>
  <c r="S78" i="1" s="1"/>
  <c r="S77" i="1" a="1"/>
  <c r="S77" i="1" s="1"/>
  <c r="S76" i="1" a="1"/>
  <c r="S76" i="1" s="1"/>
  <c r="S75" i="1" a="1"/>
  <c r="S75" i="1" s="1"/>
  <c r="S74" i="1" a="1"/>
  <c r="S74" i="1" s="1"/>
  <c r="S73" i="1" a="1"/>
  <c r="S73" i="1" s="1"/>
  <c r="S72" i="1" a="1"/>
  <c r="S72" i="1" s="1"/>
  <c r="S71" i="1" a="1"/>
  <c r="S71" i="1" s="1"/>
  <c r="S70" i="1" a="1"/>
  <c r="S70" i="1" s="1"/>
  <c r="S69" i="1" a="1"/>
  <c r="S69" i="1" s="1"/>
  <c r="S68" i="1" a="1"/>
  <c r="S68" i="1" s="1"/>
  <c r="S67" i="1" a="1"/>
  <c r="S67" i="1" s="1"/>
  <c r="S66" i="1" a="1"/>
  <c r="S66" i="1" s="1"/>
  <c r="S65" i="1" a="1"/>
  <c r="S65" i="1" s="1"/>
  <c r="S64" i="1" a="1"/>
  <c r="S64" i="1" s="1"/>
  <c r="S63" i="1" a="1"/>
  <c r="S63" i="1" s="1"/>
  <c r="S62" i="1" a="1"/>
  <c r="S62" i="1" s="1"/>
  <c r="S61" i="1" a="1"/>
  <c r="S61" i="1" s="1"/>
  <c r="S60" i="1" a="1"/>
  <c r="S60" i="1" s="1"/>
  <c r="S59" i="1" a="1"/>
  <c r="S59" i="1" s="1"/>
  <c r="S58" i="1" a="1"/>
  <c r="S58" i="1" s="1"/>
  <c r="S57" i="1" a="1"/>
  <c r="S57" i="1" s="1"/>
  <c r="S56" i="1" a="1"/>
  <c r="S56" i="1" s="1"/>
  <c r="S55" i="1" a="1"/>
  <c r="S55" i="1" s="1"/>
  <c r="S54" i="1" a="1"/>
  <c r="S54" i="1" s="1"/>
  <c r="S53" i="1" a="1"/>
  <c r="S53" i="1" s="1"/>
  <c r="S52" i="1" a="1"/>
  <c r="S52" i="1" s="1"/>
  <c r="S51" i="1" a="1"/>
  <c r="S51" i="1" s="1"/>
  <c r="S50" i="1" a="1"/>
  <c r="S50" i="1" s="1"/>
  <c r="S49" i="1" a="1"/>
  <c r="S49" i="1" s="1"/>
  <c r="S48" i="1" a="1"/>
  <c r="S48" i="1" s="1"/>
  <c r="S47" i="1" a="1"/>
  <c r="S47" i="1" s="1"/>
  <c r="S46" i="1" a="1"/>
  <c r="S46" i="1" s="1"/>
  <c r="S45" i="1" a="1"/>
  <c r="S45" i="1" s="1"/>
  <c r="S44" i="1" a="1"/>
  <c r="S44" i="1" s="1"/>
  <c r="S43" i="1" a="1"/>
  <c r="S43" i="1" s="1"/>
  <c r="S42" i="1" a="1"/>
  <c r="S42" i="1" s="1"/>
  <c r="S41" i="1" a="1"/>
  <c r="S41" i="1" s="1"/>
  <c r="S40" i="1" a="1"/>
  <c r="S40" i="1" s="1"/>
  <c r="S39" i="1" a="1"/>
  <c r="S39" i="1" s="1"/>
  <c r="S38" i="1" a="1"/>
  <c r="S38" i="1" s="1"/>
  <c r="S37" i="1" a="1"/>
  <c r="S37" i="1" s="1"/>
  <c r="S36" i="1" a="1"/>
  <c r="S36" i="1" s="1"/>
  <c r="S35" i="1" a="1"/>
  <c r="S35" i="1" s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Q138" i="1"/>
  <c r="P138" i="1" a="1"/>
  <c r="P138" i="1" s="1"/>
  <c r="Q137" i="1"/>
  <c r="P137" i="1" a="1"/>
  <c r="P137" i="1" s="1"/>
  <c r="Q136" i="1"/>
  <c r="P136" i="1" a="1"/>
  <c r="P136" i="1" s="1"/>
  <c r="Q135" i="1"/>
  <c r="P135" i="1"/>
  <c r="P135" i="1" a="1"/>
  <c r="Q134" i="1"/>
  <c r="P134" i="1" a="1"/>
  <c r="P134" i="1" s="1"/>
  <c r="Q133" i="1"/>
  <c r="P133" i="1" a="1"/>
  <c r="P133" i="1" s="1"/>
  <c r="Q132" i="1"/>
  <c r="P132" i="1" a="1"/>
  <c r="P132" i="1" s="1"/>
  <c r="Q131" i="1"/>
  <c r="P131" i="1"/>
  <c r="P131" i="1" a="1"/>
  <c r="Q130" i="1"/>
  <c r="P130" i="1" a="1"/>
  <c r="P130" i="1" s="1"/>
  <c r="Q129" i="1"/>
  <c r="P129" i="1" a="1"/>
  <c r="P129" i="1" s="1"/>
  <c r="Q128" i="1"/>
  <c r="P128" i="1" a="1"/>
  <c r="P128" i="1" s="1"/>
  <c r="Q127" i="1"/>
  <c r="P127" i="1"/>
  <c r="P127" i="1" a="1"/>
  <c r="Q126" i="1"/>
  <c r="P126" i="1" a="1"/>
  <c r="P126" i="1" s="1"/>
  <c r="Q125" i="1"/>
  <c r="P125" i="1" a="1"/>
  <c r="P125" i="1" s="1"/>
  <c r="Q124" i="1"/>
  <c r="P124" i="1" a="1"/>
  <c r="P124" i="1" s="1"/>
  <c r="Q123" i="1"/>
  <c r="P123" i="1"/>
  <c r="P123" i="1" a="1"/>
  <c r="Q122" i="1"/>
  <c r="P122" i="1" a="1"/>
  <c r="P122" i="1" s="1"/>
  <c r="Q121" i="1"/>
  <c r="P121" i="1" a="1"/>
  <c r="P121" i="1" s="1"/>
  <c r="Q120" i="1"/>
  <c r="P120" i="1" a="1"/>
  <c r="P120" i="1" s="1"/>
  <c r="Q119" i="1"/>
  <c r="P119" i="1"/>
  <c r="P119" i="1" a="1"/>
  <c r="Q118" i="1"/>
  <c r="P118" i="1" a="1"/>
  <c r="P118" i="1" s="1"/>
  <c r="Q117" i="1"/>
  <c r="P117" i="1" a="1"/>
  <c r="P117" i="1" s="1"/>
  <c r="Q116" i="1"/>
  <c r="P116" i="1" a="1"/>
  <c r="P116" i="1" s="1"/>
  <c r="Q115" i="1"/>
  <c r="P115" i="1"/>
  <c r="P115" i="1" a="1"/>
  <c r="Q114" i="1"/>
  <c r="P114" i="1" a="1"/>
  <c r="P114" i="1" s="1"/>
  <c r="Q113" i="1"/>
  <c r="P113" i="1" a="1"/>
  <c r="P113" i="1" s="1"/>
  <c r="Q112" i="1"/>
  <c r="P112" i="1" a="1"/>
  <c r="P112" i="1" s="1"/>
  <c r="Q111" i="1"/>
  <c r="P111" i="1"/>
  <c r="P111" i="1" a="1"/>
  <c r="Q110" i="1"/>
  <c r="P110" i="1" a="1"/>
  <c r="P110" i="1" s="1"/>
  <c r="Q109" i="1"/>
  <c r="P109" i="1" a="1"/>
  <c r="P109" i="1" s="1"/>
  <c r="Q108" i="1"/>
  <c r="P108" i="1" a="1"/>
  <c r="P108" i="1" s="1"/>
  <c r="Q107" i="1"/>
  <c r="P107" i="1"/>
  <c r="P107" i="1" a="1"/>
  <c r="Q106" i="1"/>
  <c r="P106" i="1" a="1"/>
  <c r="P106" i="1" s="1"/>
  <c r="Q105" i="1"/>
  <c r="P105" i="1" a="1"/>
  <c r="P105" i="1" s="1"/>
  <c r="Q104" i="1"/>
  <c r="P104" i="1" a="1"/>
  <c r="P104" i="1" s="1"/>
  <c r="Q103" i="1"/>
  <c r="P103" i="1"/>
  <c r="P103" i="1" a="1"/>
  <c r="Q102" i="1"/>
  <c r="P102" i="1" a="1"/>
  <c r="P102" i="1" s="1"/>
  <c r="Q101" i="1"/>
  <c r="P101" i="1" a="1"/>
  <c r="P101" i="1" s="1"/>
  <c r="Q100" i="1"/>
  <c r="P100" i="1" a="1"/>
  <c r="P100" i="1" s="1"/>
  <c r="Q99" i="1"/>
  <c r="P99" i="1"/>
  <c r="P99" i="1" a="1"/>
  <c r="Q98" i="1"/>
  <c r="P98" i="1" a="1"/>
  <c r="P98" i="1" s="1"/>
  <c r="Q97" i="1"/>
  <c r="P97" i="1" a="1"/>
  <c r="P97" i="1" s="1"/>
  <c r="Q96" i="1"/>
  <c r="P96" i="1" a="1"/>
  <c r="P96" i="1" s="1"/>
  <c r="Q95" i="1"/>
  <c r="P95" i="1"/>
  <c r="P95" i="1" a="1"/>
  <c r="Q94" i="1"/>
  <c r="P94" i="1" a="1"/>
  <c r="P94" i="1" s="1"/>
  <c r="Q93" i="1"/>
  <c r="P93" i="1" a="1"/>
  <c r="P93" i="1" s="1"/>
  <c r="Q92" i="1"/>
  <c r="P92" i="1" a="1"/>
  <c r="P92" i="1" s="1"/>
  <c r="Q91" i="1"/>
  <c r="P91" i="1"/>
  <c r="P91" i="1" a="1"/>
  <c r="Q90" i="1"/>
  <c r="P90" i="1" a="1"/>
  <c r="P90" i="1" s="1"/>
  <c r="Q89" i="1"/>
  <c r="P89" i="1" a="1"/>
  <c r="P89" i="1" s="1"/>
  <c r="Q88" i="1"/>
  <c r="P88" i="1" a="1"/>
  <c r="P88" i="1" s="1"/>
  <c r="Q87" i="1"/>
  <c r="P87" i="1"/>
  <c r="P87" i="1" a="1"/>
  <c r="Q86" i="1"/>
  <c r="P86" i="1" a="1"/>
  <c r="P86" i="1" s="1"/>
  <c r="Q85" i="1"/>
  <c r="P85" i="1" a="1"/>
  <c r="P85" i="1" s="1"/>
  <c r="Q84" i="1"/>
  <c r="P84" i="1" a="1"/>
  <c r="P84" i="1" s="1"/>
  <c r="Q83" i="1"/>
  <c r="P83" i="1"/>
  <c r="P83" i="1" a="1"/>
  <c r="Q82" i="1"/>
  <c r="P82" i="1" a="1"/>
  <c r="P82" i="1" s="1"/>
  <c r="Q81" i="1"/>
  <c r="P81" i="1" a="1"/>
  <c r="P81" i="1" s="1"/>
  <c r="Q80" i="1"/>
  <c r="P80" i="1" a="1"/>
  <c r="P80" i="1" s="1"/>
  <c r="Q79" i="1"/>
  <c r="P79" i="1"/>
  <c r="P79" i="1" a="1"/>
  <c r="Q78" i="1"/>
  <c r="P78" i="1" a="1"/>
  <c r="P78" i="1" s="1"/>
  <c r="Q77" i="1"/>
  <c r="P77" i="1" a="1"/>
  <c r="P77" i="1" s="1"/>
  <c r="Q76" i="1"/>
  <c r="P76" i="1" a="1"/>
  <c r="P76" i="1" s="1"/>
  <c r="Q75" i="1"/>
  <c r="P75" i="1"/>
  <c r="P75" i="1" a="1"/>
  <c r="Q74" i="1"/>
  <c r="P74" i="1" a="1"/>
  <c r="P74" i="1" s="1"/>
  <c r="Q73" i="1"/>
  <c r="P73" i="1" a="1"/>
  <c r="P73" i="1" s="1"/>
  <c r="Q72" i="1"/>
  <c r="P72" i="1" a="1"/>
  <c r="P72" i="1" s="1"/>
  <c r="Q71" i="1"/>
  <c r="P71" i="1"/>
  <c r="P71" i="1" a="1"/>
  <c r="Q70" i="1"/>
  <c r="P70" i="1" a="1"/>
  <c r="P70" i="1" s="1"/>
  <c r="Q69" i="1"/>
  <c r="P69" i="1" a="1"/>
  <c r="P69" i="1" s="1"/>
  <c r="Q68" i="1"/>
  <c r="P68" i="1" a="1"/>
  <c r="P68" i="1" s="1"/>
  <c r="Q67" i="1"/>
  <c r="P67" i="1"/>
  <c r="P67" i="1" a="1"/>
  <c r="Q66" i="1"/>
  <c r="P66" i="1" a="1"/>
  <c r="P66" i="1" s="1"/>
  <c r="Q65" i="1"/>
  <c r="P65" i="1" a="1"/>
  <c r="P65" i="1" s="1"/>
  <c r="Q64" i="1"/>
  <c r="P64" i="1" a="1"/>
  <c r="P64" i="1" s="1"/>
  <c r="Q63" i="1"/>
  <c r="P63" i="1"/>
  <c r="P63" i="1" a="1"/>
  <c r="Q62" i="1"/>
  <c r="P62" i="1" a="1"/>
  <c r="P62" i="1" s="1"/>
  <c r="Q61" i="1"/>
  <c r="P61" i="1" a="1"/>
  <c r="P61" i="1" s="1"/>
  <c r="Q60" i="1"/>
  <c r="P60" i="1" a="1"/>
  <c r="P60" i="1" s="1"/>
  <c r="Q59" i="1"/>
  <c r="P59" i="1"/>
  <c r="P59" i="1" a="1"/>
  <c r="Q58" i="1"/>
  <c r="P58" i="1" a="1"/>
  <c r="P58" i="1" s="1"/>
  <c r="Q57" i="1"/>
  <c r="P57" i="1" a="1"/>
  <c r="P57" i="1" s="1"/>
  <c r="Q56" i="1"/>
  <c r="P56" i="1" a="1"/>
  <c r="P56" i="1" s="1"/>
  <c r="Q55" i="1"/>
  <c r="P55" i="1"/>
  <c r="P55" i="1" a="1"/>
  <c r="Q54" i="1"/>
  <c r="P54" i="1" a="1"/>
  <c r="P54" i="1" s="1"/>
  <c r="Q53" i="1"/>
  <c r="P53" i="1" a="1"/>
  <c r="P53" i="1" s="1"/>
  <c r="Q52" i="1"/>
  <c r="P52" i="1" a="1"/>
  <c r="P52" i="1" s="1"/>
  <c r="Q51" i="1"/>
  <c r="P51" i="1"/>
  <c r="P51" i="1" a="1"/>
  <c r="Q50" i="1"/>
  <c r="P50" i="1" a="1"/>
  <c r="P50" i="1" s="1"/>
  <c r="Q49" i="1"/>
  <c r="P49" i="1" a="1"/>
  <c r="P49" i="1" s="1"/>
  <c r="Q48" i="1"/>
  <c r="P48" i="1" a="1"/>
  <c r="P48" i="1" s="1"/>
  <c r="Q47" i="1"/>
  <c r="P47" i="1"/>
  <c r="P47" i="1" a="1"/>
  <c r="Q46" i="1"/>
  <c r="P46" i="1" a="1"/>
  <c r="P46" i="1" s="1"/>
  <c r="Q45" i="1"/>
  <c r="P45" i="1" a="1"/>
  <c r="P45" i="1" s="1"/>
  <c r="Q44" i="1"/>
  <c r="P44" i="1" a="1"/>
  <c r="P44" i="1" s="1"/>
  <c r="Q43" i="1"/>
  <c r="P43" i="1"/>
  <c r="P43" i="1" a="1"/>
  <c r="Q42" i="1"/>
  <c r="P42" i="1" a="1"/>
  <c r="P42" i="1" s="1"/>
  <c r="Q41" i="1"/>
  <c r="P41" i="1" a="1"/>
  <c r="P41" i="1" s="1"/>
  <c r="Q40" i="1"/>
  <c r="P40" i="1" a="1"/>
  <c r="P40" i="1" s="1"/>
  <c r="Q39" i="1"/>
  <c r="P39" i="1"/>
  <c r="P39" i="1" a="1"/>
  <c r="Q38" i="1"/>
  <c r="P38" i="1" a="1"/>
  <c r="P38" i="1" s="1"/>
  <c r="Q37" i="1"/>
  <c r="P37" i="1" a="1"/>
  <c r="P37" i="1" s="1"/>
  <c r="Q36" i="1"/>
  <c r="P36" i="1" a="1"/>
  <c r="P36" i="1" s="1"/>
  <c r="P35" i="1" a="1"/>
  <c r="P35" i="1"/>
  <c r="Q35" i="1"/>
  <c r="E37" i="1" l="1" a="1"/>
  <c r="B37" i="1"/>
  <c r="E38" i="1" a="1"/>
  <c r="B38" i="1" a="1"/>
  <c r="E36" i="1" a="1"/>
  <c r="E35" i="1" a="1"/>
  <c r="B36" i="1" a="1"/>
  <c r="B35" i="1" a="1"/>
  <c r="E37" i="1" l="1"/>
  <c r="I37" i="1"/>
  <c r="M37" i="1"/>
  <c r="F37" i="1"/>
  <c r="J37" i="1"/>
  <c r="N37" i="1"/>
  <c r="H37" i="1"/>
  <c r="L37" i="1"/>
  <c r="G37" i="1"/>
  <c r="K37" i="1"/>
  <c r="G38" i="1"/>
  <c r="K38" i="1"/>
  <c r="E39" i="1"/>
  <c r="I39" i="1"/>
  <c r="M39" i="1"/>
  <c r="G40" i="1"/>
  <c r="K40" i="1"/>
  <c r="E41" i="1"/>
  <c r="I41" i="1"/>
  <c r="M41" i="1"/>
  <c r="G42" i="1"/>
  <c r="K42" i="1"/>
  <c r="E43" i="1"/>
  <c r="I43" i="1"/>
  <c r="M43" i="1"/>
  <c r="G44" i="1"/>
  <c r="K44" i="1"/>
  <c r="E45" i="1"/>
  <c r="I45" i="1"/>
  <c r="M45" i="1"/>
  <c r="G46" i="1"/>
  <c r="K46" i="1"/>
  <c r="E47" i="1"/>
  <c r="I47" i="1"/>
  <c r="M47" i="1"/>
  <c r="G48" i="1"/>
  <c r="K48" i="1"/>
  <c r="E49" i="1"/>
  <c r="I49" i="1"/>
  <c r="M49" i="1"/>
  <c r="G50" i="1"/>
  <c r="K50" i="1"/>
  <c r="E51" i="1"/>
  <c r="I51" i="1"/>
  <c r="M51" i="1"/>
  <c r="G52" i="1"/>
  <c r="K52" i="1"/>
  <c r="E53" i="1"/>
  <c r="I53" i="1"/>
  <c r="M53" i="1"/>
  <c r="G54" i="1"/>
  <c r="K54" i="1"/>
  <c r="E55" i="1"/>
  <c r="I55" i="1"/>
  <c r="M55" i="1"/>
  <c r="G56" i="1"/>
  <c r="K56" i="1"/>
  <c r="E57" i="1"/>
  <c r="I57" i="1"/>
  <c r="M57" i="1"/>
  <c r="G58" i="1"/>
  <c r="K58" i="1"/>
  <c r="E59" i="1"/>
  <c r="I59" i="1"/>
  <c r="M59" i="1"/>
  <c r="G60" i="1"/>
  <c r="K60" i="1"/>
  <c r="E61" i="1"/>
  <c r="I61" i="1"/>
  <c r="M61" i="1"/>
  <c r="G62" i="1"/>
  <c r="K62" i="1"/>
  <c r="E63" i="1"/>
  <c r="I63" i="1"/>
  <c r="M63" i="1"/>
  <c r="G64" i="1"/>
  <c r="K64" i="1"/>
  <c r="E65" i="1"/>
  <c r="I65" i="1"/>
  <c r="M65" i="1"/>
  <c r="G66" i="1"/>
  <c r="K66" i="1"/>
  <c r="E67" i="1"/>
  <c r="I67" i="1"/>
  <c r="M67" i="1"/>
  <c r="G68" i="1"/>
  <c r="K68" i="1"/>
  <c r="E69" i="1"/>
  <c r="I69" i="1"/>
  <c r="M69" i="1"/>
  <c r="G70" i="1"/>
  <c r="K70" i="1"/>
  <c r="E71" i="1"/>
  <c r="I71" i="1"/>
  <c r="M71" i="1"/>
  <c r="H38" i="1"/>
  <c r="M38" i="1"/>
  <c r="H39" i="1"/>
  <c r="N39" i="1"/>
  <c r="I40" i="1"/>
  <c r="N40" i="1"/>
  <c r="J41" i="1"/>
  <c r="E42" i="1"/>
  <c r="J42" i="1"/>
  <c r="F43" i="1"/>
  <c r="K43" i="1"/>
  <c r="F44" i="1"/>
  <c r="L44" i="1"/>
  <c r="G45" i="1"/>
  <c r="L45" i="1"/>
  <c r="H46" i="1"/>
  <c r="M46" i="1"/>
  <c r="H47" i="1"/>
  <c r="N47" i="1"/>
  <c r="I48" i="1"/>
  <c r="N48" i="1"/>
  <c r="J49" i="1"/>
  <c r="E50" i="1"/>
  <c r="J50" i="1"/>
  <c r="F51" i="1"/>
  <c r="K51" i="1"/>
  <c r="F52" i="1"/>
  <c r="L52" i="1"/>
  <c r="G53" i="1"/>
  <c r="L53" i="1"/>
  <c r="H54" i="1"/>
  <c r="M54" i="1"/>
  <c r="H55" i="1"/>
  <c r="N55" i="1"/>
  <c r="I56" i="1"/>
  <c r="N56" i="1"/>
  <c r="J57" i="1"/>
  <c r="E58" i="1"/>
  <c r="J58" i="1"/>
  <c r="F59" i="1"/>
  <c r="K59" i="1"/>
  <c r="F60" i="1"/>
  <c r="L60" i="1"/>
  <c r="G61" i="1"/>
  <c r="L61" i="1"/>
  <c r="H62" i="1"/>
  <c r="M62" i="1"/>
  <c r="H63" i="1"/>
  <c r="N63" i="1"/>
  <c r="I64" i="1"/>
  <c r="N64" i="1"/>
  <c r="J65" i="1"/>
  <c r="E66" i="1"/>
  <c r="J66" i="1"/>
  <c r="F67" i="1"/>
  <c r="K67" i="1"/>
  <c r="F68" i="1"/>
  <c r="L68" i="1"/>
  <c r="G69" i="1"/>
  <c r="L69" i="1"/>
  <c r="H70" i="1"/>
  <c r="M70" i="1"/>
  <c r="H71" i="1"/>
  <c r="N71" i="1"/>
  <c r="H72" i="1"/>
  <c r="L72" i="1"/>
  <c r="F73" i="1"/>
  <c r="J73" i="1"/>
  <c r="N73" i="1"/>
  <c r="H74" i="1"/>
  <c r="L74" i="1"/>
  <c r="F75" i="1"/>
  <c r="J75" i="1"/>
  <c r="N75" i="1"/>
  <c r="H76" i="1"/>
  <c r="L76" i="1"/>
  <c r="F77" i="1"/>
  <c r="J77" i="1"/>
  <c r="N77" i="1"/>
  <c r="H78" i="1"/>
  <c r="L78" i="1"/>
  <c r="F79" i="1"/>
  <c r="J79" i="1"/>
  <c r="N79" i="1"/>
  <c r="H80" i="1"/>
  <c r="L80" i="1"/>
  <c r="F81" i="1"/>
  <c r="J81" i="1"/>
  <c r="N81" i="1"/>
  <c r="H82" i="1"/>
  <c r="L82" i="1"/>
  <c r="F83" i="1"/>
  <c r="J83" i="1"/>
  <c r="N83" i="1"/>
  <c r="H84" i="1"/>
  <c r="L84" i="1"/>
  <c r="F85" i="1"/>
  <c r="J85" i="1"/>
  <c r="N85" i="1"/>
  <c r="H86" i="1"/>
  <c r="L86" i="1"/>
  <c r="F87" i="1"/>
  <c r="J87" i="1"/>
  <c r="N87" i="1"/>
  <c r="H88" i="1"/>
  <c r="L88" i="1"/>
  <c r="F89" i="1"/>
  <c r="J89" i="1"/>
  <c r="N89" i="1"/>
  <c r="H90" i="1"/>
  <c r="L90" i="1"/>
  <c r="F91" i="1"/>
  <c r="J91" i="1"/>
  <c r="N91" i="1"/>
  <c r="H92" i="1"/>
  <c r="L92" i="1"/>
  <c r="F93" i="1"/>
  <c r="J93" i="1"/>
  <c r="N93" i="1"/>
  <c r="H94" i="1"/>
  <c r="L94" i="1"/>
  <c r="F95" i="1"/>
  <c r="J95" i="1"/>
  <c r="N95" i="1"/>
  <c r="H96" i="1"/>
  <c r="L96" i="1"/>
  <c r="F97" i="1"/>
  <c r="J97" i="1"/>
  <c r="N97" i="1"/>
  <c r="H98" i="1"/>
  <c r="L98" i="1"/>
  <c r="F99" i="1"/>
  <c r="J99" i="1"/>
  <c r="N99" i="1"/>
  <c r="H100" i="1"/>
  <c r="L100" i="1"/>
  <c r="F101" i="1"/>
  <c r="J101" i="1"/>
  <c r="N101" i="1"/>
  <c r="H102" i="1"/>
  <c r="L102" i="1"/>
  <c r="F103" i="1"/>
  <c r="J103" i="1"/>
  <c r="N103" i="1"/>
  <c r="H104" i="1"/>
  <c r="L104" i="1"/>
  <c r="F105" i="1"/>
  <c r="J105" i="1"/>
  <c r="N105" i="1"/>
  <c r="H106" i="1"/>
  <c r="L106" i="1"/>
  <c r="F107" i="1"/>
  <c r="J107" i="1"/>
  <c r="N107" i="1"/>
  <c r="H108" i="1"/>
  <c r="L108" i="1"/>
  <c r="F109" i="1"/>
  <c r="J109" i="1"/>
  <c r="N109" i="1"/>
  <c r="H110" i="1"/>
  <c r="L110" i="1"/>
  <c r="F111" i="1"/>
  <c r="J111" i="1"/>
  <c r="N111" i="1"/>
  <c r="H112" i="1"/>
  <c r="L112" i="1"/>
  <c r="F113" i="1"/>
  <c r="J113" i="1"/>
  <c r="N113" i="1"/>
  <c r="H114" i="1"/>
  <c r="J38" i="1"/>
  <c r="G39" i="1"/>
  <c r="E40" i="1"/>
  <c r="L40" i="1"/>
  <c r="H41" i="1"/>
  <c r="F42" i="1"/>
  <c r="M42" i="1"/>
  <c r="J43" i="1"/>
  <c r="H44" i="1"/>
  <c r="N44" i="1"/>
  <c r="K45" i="1"/>
  <c r="I46" i="1"/>
  <c r="F47" i="1"/>
  <c r="L47" i="1"/>
  <c r="J48" i="1"/>
  <c r="G49" i="1"/>
  <c r="N49" i="1"/>
  <c r="L50" i="1"/>
  <c r="H51" i="1"/>
  <c r="E52" i="1"/>
  <c r="M52" i="1"/>
  <c r="J53" i="1"/>
  <c r="F54" i="1"/>
  <c r="N54" i="1"/>
  <c r="K55" i="1"/>
  <c r="H56" i="1"/>
  <c r="F57" i="1"/>
  <c r="L57" i="1"/>
  <c r="I58" i="1"/>
  <c r="G59" i="1"/>
  <c r="N59" i="1"/>
  <c r="J60" i="1"/>
  <c r="H61" i="1"/>
  <c r="E62" i="1"/>
  <c r="L62" i="1"/>
  <c r="J63" i="1"/>
  <c r="F64" i="1"/>
  <c r="M64" i="1"/>
  <c r="K65" i="1"/>
  <c r="H66" i="1"/>
  <c r="N66" i="1"/>
  <c r="L67" i="1"/>
  <c r="I68" i="1"/>
  <c r="N69" i="1"/>
  <c r="J70" i="1"/>
  <c r="G71" i="1"/>
  <c r="E72" i="1"/>
  <c r="J72" i="1"/>
  <c r="E73" i="1"/>
  <c r="K73" i="1"/>
  <c r="F74" i="1"/>
  <c r="K74" i="1"/>
  <c r="G75" i="1"/>
  <c r="G76" i="1"/>
  <c r="H77" i="1"/>
  <c r="N78" i="1"/>
  <c r="J80" i="1"/>
  <c r="F82" i="1"/>
  <c r="G84" i="1"/>
  <c r="I86" i="1"/>
  <c r="J88" i="1"/>
  <c r="K89" i="1"/>
  <c r="K90" i="1"/>
  <c r="L91" i="1"/>
  <c r="H93" i="1"/>
  <c r="N94" i="1"/>
  <c r="E96" i="1"/>
  <c r="K97" i="1"/>
  <c r="G99" i="1"/>
  <c r="G100" i="1"/>
  <c r="H101" i="1"/>
  <c r="I102" i="1"/>
  <c r="I103" i="1"/>
  <c r="J104" i="1"/>
  <c r="K105" i="1"/>
  <c r="K106" i="1"/>
  <c r="L107" i="1"/>
  <c r="M108" i="1"/>
  <c r="M109" i="1"/>
  <c r="N110" i="1"/>
  <c r="J112" i="1"/>
  <c r="F114" i="1"/>
  <c r="I115" i="1"/>
  <c r="K116" i="1"/>
  <c r="M117" i="1"/>
  <c r="E38" i="1"/>
  <c r="L38" i="1"/>
  <c r="J39" i="1"/>
  <c r="F40" i="1"/>
  <c r="M40" i="1"/>
  <c r="K41" i="1"/>
  <c r="H42" i="1"/>
  <c r="N42" i="1"/>
  <c r="L43" i="1"/>
  <c r="I44" i="1"/>
  <c r="F45" i="1"/>
  <c r="N45" i="1"/>
  <c r="J46" i="1"/>
  <c r="G47" i="1"/>
  <c r="E48" i="1"/>
  <c r="L48" i="1"/>
  <c r="H49" i="1"/>
  <c r="F50" i="1"/>
  <c r="M50" i="1"/>
  <c r="J51" i="1"/>
  <c r="H52" i="1"/>
  <c r="N52" i="1"/>
  <c r="K53" i="1"/>
  <c r="I54" i="1"/>
  <c r="F55" i="1"/>
  <c r="L55" i="1"/>
  <c r="J56" i="1"/>
  <c r="G57" i="1"/>
  <c r="N57" i="1"/>
  <c r="L58" i="1"/>
  <c r="H59" i="1"/>
  <c r="E60" i="1"/>
  <c r="M60" i="1"/>
  <c r="J61" i="1"/>
  <c r="F62" i="1"/>
  <c r="N62" i="1"/>
  <c r="K63" i="1"/>
  <c r="H64" i="1"/>
  <c r="F65" i="1"/>
  <c r="L65" i="1"/>
  <c r="I66" i="1"/>
  <c r="G67" i="1"/>
  <c r="N67" i="1"/>
  <c r="J68" i="1"/>
  <c r="H69" i="1"/>
  <c r="E70" i="1"/>
  <c r="L70" i="1"/>
  <c r="J71" i="1"/>
  <c r="F72" i="1"/>
  <c r="K72" i="1"/>
  <c r="G73" i="1"/>
  <c r="L73" i="1"/>
  <c r="G74" i="1"/>
  <c r="M74" i="1"/>
  <c r="H75" i="1"/>
  <c r="M75" i="1"/>
  <c r="I76" i="1"/>
  <c r="N76" i="1"/>
  <c r="I77" i="1"/>
  <c r="E78" i="1"/>
  <c r="J78" i="1"/>
  <c r="E79" i="1"/>
  <c r="K79" i="1"/>
  <c r="F80" i="1"/>
  <c r="K80" i="1"/>
  <c r="G81" i="1"/>
  <c r="L81" i="1"/>
  <c r="G82" i="1"/>
  <c r="M82" i="1"/>
  <c r="H83" i="1"/>
  <c r="M83" i="1"/>
  <c r="I84" i="1"/>
  <c r="N84" i="1"/>
  <c r="I85" i="1"/>
  <c r="E86" i="1"/>
  <c r="F38" i="1"/>
  <c r="N38" i="1"/>
  <c r="K39" i="1"/>
  <c r="H40" i="1"/>
  <c r="F41" i="1"/>
  <c r="L41" i="1"/>
  <c r="I42" i="1"/>
  <c r="G43" i="1"/>
  <c r="N43" i="1"/>
  <c r="J44" i="1"/>
  <c r="H45" i="1"/>
  <c r="E46" i="1"/>
  <c r="L46" i="1"/>
  <c r="J47" i="1"/>
  <c r="F48" i="1"/>
  <c r="M48" i="1"/>
  <c r="K49" i="1"/>
  <c r="H50" i="1"/>
  <c r="N50" i="1"/>
  <c r="L51" i="1"/>
  <c r="I52" i="1"/>
  <c r="F53" i="1"/>
  <c r="N53" i="1"/>
  <c r="J54" i="1"/>
  <c r="G55" i="1"/>
  <c r="E56" i="1"/>
  <c r="L56" i="1"/>
  <c r="H57" i="1"/>
  <c r="F58" i="1"/>
  <c r="M58" i="1"/>
  <c r="J59" i="1"/>
  <c r="H60" i="1"/>
  <c r="N60" i="1"/>
  <c r="K61" i="1"/>
  <c r="I62" i="1"/>
  <c r="F63" i="1"/>
  <c r="L63" i="1"/>
  <c r="J64" i="1"/>
  <c r="G65" i="1"/>
  <c r="N65" i="1"/>
  <c r="L66" i="1"/>
  <c r="H67" i="1"/>
  <c r="E68" i="1"/>
  <c r="M68" i="1"/>
  <c r="J69" i="1"/>
  <c r="F70" i="1"/>
  <c r="N70" i="1"/>
  <c r="K71" i="1"/>
  <c r="G72" i="1"/>
  <c r="M72" i="1"/>
  <c r="H73" i="1"/>
  <c r="M73" i="1"/>
  <c r="I74" i="1"/>
  <c r="N74" i="1"/>
  <c r="I75" i="1"/>
  <c r="E76" i="1"/>
  <c r="J76" i="1"/>
  <c r="I38" i="1"/>
  <c r="F39" i="1"/>
  <c r="L39" i="1"/>
  <c r="J40" i="1"/>
  <c r="G41" i="1"/>
  <c r="N41" i="1"/>
  <c r="L42" i="1"/>
  <c r="H43" i="1"/>
  <c r="E44" i="1"/>
  <c r="M44" i="1"/>
  <c r="J45" i="1"/>
  <c r="F46" i="1"/>
  <c r="N46" i="1"/>
  <c r="K47" i="1"/>
  <c r="H48" i="1"/>
  <c r="F49" i="1"/>
  <c r="L49" i="1"/>
  <c r="I50" i="1"/>
  <c r="G51" i="1"/>
  <c r="N51" i="1"/>
  <c r="J52" i="1"/>
  <c r="H53" i="1"/>
  <c r="E54" i="1"/>
  <c r="L54" i="1"/>
  <c r="J55" i="1"/>
  <c r="F56" i="1"/>
  <c r="M56" i="1"/>
  <c r="K57" i="1"/>
  <c r="H58" i="1"/>
  <c r="N58" i="1"/>
  <c r="L59" i="1"/>
  <c r="I60" i="1"/>
  <c r="F61" i="1"/>
  <c r="N61" i="1"/>
  <c r="J62" i="1"/>
  <c r="G63" i="1"/>
  <c r="E64" i="1"/>
  <c r="L64" i="1"/>
  <c r="H65" i="1"/>
  <c r="F66" i="1"/>
  <c r="M66" i="1"/>
  <c r="J67" i="1"/>
  <c r="H68" i="1"/>
  <c r="N68" i="1"/>
  <c r="K69" i="1"/>
  <c r="I70" i="1"/>
  <c r="F71" i="1"/>
  <c r="L71" i="1"/>
  <c r="I72" i="1"/>
  <c r="N72" i="1"/>
  <c r="I73" i="1"/>
  <c r="E74" i="1"/>
  <c r="J74" i="1"/>
  <c r="E75" i="1"/>
  <c r="K75" i="1"/>
  <c r="F76" i="1"/>
  <c r="K76" i="1"/>
  <c r="G77" i="1"/>
  <c r="L77" i="1"/>
  <c r="G78" i="1"/>
  <c r="M78" i="1"/>
  <c r="H79" i="1"/>
  <c r="M79" i="1"/>
  <c r="I80" i="1"/>
  <c r="N80" i="1"/>
  <c r="I81" i="1"/>
  <c r="E82" i="1"/>
  <c r="J82" i="1"/>
  <c r="E83" i="1"/>
  <c r="K83" i="1"/>
  <c r="F84" i="1"/>
  <c r="K84" i="1"/>
  <c r="G85" i="1"/>
  <c r="L85" i="1"/>
  <c r="G86" i="1"/>
  <c r="M86" i="1"/>
  <c r="H87" i="1"/>
  <c r="M87" i="1"/>
  <c r="I88" i="1"/>
  <c r="N88" i="1"/>
  <c r="I89" i="1"/>
  <c r="E90" i="1"/>
  <c r="J90" i="1"/>
  <c r="E91" i="1"/>
  <c r="K91" i="1"/>
  <c r="F92" i="1"/>
  <c r="K92" i="1"/>
  <c r="G93" i="1"/>
  <c r="L93" i="1"/>
  <c r="G94" i="1"/>
  <c r="M94" i="1"/>
  <c r="H95" i="1"/>
  <c r="M95" i="1"/>
  <c r="I96" i="1"/>
  <c r="N96" i="1"/>
  <c r="I97" i="1"/>
  <c r="E98" i="1"/>
  <c r="J98" i="1"/>
  <c r="E99" i="1"/>
  <c r="K99" i="1"/>
  <c r="F100" i="1"/>
  <c r="K100" i="1"/>
  <c r="G101" i="1"/>
  <c r="L101" i="1"/>
  <c r="G102" i="1"/>
  <c r="M102" i="1"/>
  <c r="H103" i="1"/>
  <c r="M103" i="1"/>
  <c r="I104" i="1"/>
  <c r="N104" i="1"/>
  <c r="I105" i="1"/>
  <c r="E106" i="1"/>
  <c r="J106" i="1"/>
  <c r="E107" i="1"/>
  <c r="K107" i="1"/>
  <c r="F108" i="1"/>
  <c r="K108" i="1"/>
  <c r="G109" i="1"/>
  <c r="L109" i="1"/>
  <c r="G110" i="1"/>
  <c r="M110" i="1"/>
  <c r="H111" i="1"/>
  <c r="M111" i="1"/>
  <c r="I112" i="1"/>
  <c r="N112" i="1"/>
  <c r="I113" i="1"/>
  <c r="E114" i="1"/>
  <c r="J114" i="1"/>
  <c r="N114" i="1"/>
  <c r="H115" i="1"/>
  <c r="L115" i="1"/>
  <c r="F116" i="1"/>
  <c r="J116" i="1"/>
  <c r="N116" i="1"/>
  <c r="H117" i="1"/>
  <c r="L117" i="1"/>
  <c r="F118" i="1"/>
  <c r="J118" i="1"/>
  <c r="N118" i="1"/>
  <c r="H119" i="1"/>
  <c r="L119" i="1"/>
  <c r="F120" i="1"/>
  <c r="J120" i="1"/>
  <c r="N120" i="1"/>
  <c r="H121" i="1"/>
  <c r="L121" i="1"/>
  <c r="F122" i="1"/>
  <c r="J122" i="1"/>
  <c r="N122" i="1"/>
  <c r="H123" i="1"/>
  <c r="L123" i="1"/>
  <c r="F124" i="1"/>
  <c r="J124" i="1"/>
  <c r="N124" i="1"/>
  <c r="H125" i="1"/>
  <c r="L125" i="1"/>
  <c r="F126" i="1"/>
  <c r="J126" i="1"/>
  <c r="N126" i="1"/>
  <c r="H127" i="1"/>
  <c r="L127" i="1"/>
  <c r="F128" i="1"/>
  <c r="J128" i="1"/>
  <c r="N128" i="1"/>
  <c r="H129" i="1"/>
  <c r="L129" i="1"/>
  <c r="F130" i="1"/>
  <c r="J130" i="1"/>
  <c r="N130" i="1"/>
  <c r="H131" i="1"/>
  <c r="L131" i="1"/>
  <c r="F132" i="1"/>
  <c r="J132" i="1"/>
  <c r="N132" i="1"/>
  <c r="H133" i="1"/>
  <c r="L133" i="1"/>
  <c r="F134" i="1"/>
  <c r="J134" i="1"/>
  <c r="N134" i="1"/>
  <c r="H135" i="1"/>
  <c r="L135" i="1"/>
  <c r="F136" i="1"/>
  <c r="J136" i="1"/>
  <c r="N136" i="1"/>
  <c r="H137" i="1"/>
  <c r="L137" i="1"/>
  <c r="F138" i="1"/>
  <c r="J138" i="1"/>
  <c r="N138" i="1"/>
  <c r="F69" i="1"/>
  <c r="L75" i="1"/>
  <c r="M76" i="1"/>
  <c r="M77" i="1"/>
  <c r="I78" i="1"/>
  <c r="I79" i="1"/>
  <c r="E80" i="1"/>
  <c r="E81" i="1"/>
  <c r="K81" i="1"/>
  <c r="K82" i="1"/>
  <c r="G83" i="1"/>
  <c r="L83" i="1"/>
  <c r="M84" i="1"/>
  <c r="H85" i="1"/>
  <c r="M85" i="1"/>
  <c r="N86" i="1"/>
  <c r="I87" i="1"/>
  <c r="E88" i="1"/>
  <c r="E89" i="1"/>
  <c r="F90" i="1"/>
  <c r="G91" i="1"/>
  <c r="G92" i="1"/>
  <c r="M92" i="1"/>
  <c r="M93" i="1"/>
  <c r="I94" i="1"/>
  <c r="I95" i="1"/>
  <c r="J96" i="1"/>
  <c r="E97" i="1"/>
  <c r="F98" i="1"/>
  <c r="K98" i="1"/>
  <c r="L99" i="1"/>
  <c r="M100" i="1"/>
  <c r="M101" i="1"/>
  <c r="N102" i="1"/>
  <c r="E104" i="1"/>
  <c r="E105" i="1"/>
  <c r="F106" i="1"/>
  <c r="G107" i="1"/>
  <c r="G108" i="1"/>
  <c r="H109" i="1"/>
  <c r="I110" i="1"/>
  <c r="I111" i="1"/>
  <c r="E112" i="1"/>
  <c r="E113" i="1"/>
  <c r="K113" i="1"/>
  <c r="K114" i="1"/>
  <c r="E115" i="1"/>
  <c r="M115" i="1"/>
  <c r="G116" i="1"/>
  <c r="E117" i="1"/>
  <c r="I117" i="1"/>
  <c r="G118" i="1"/>
  <c r="E119" i="1"/>
  <c r="K78" i="1"/>
  <c r="M80" i="1"/>
  <c r="N82" i="1"/>
  <c r="E85" i="1"/>
  <c r="K86" i="1"/>
  <c r="L87" i="1"/>
  <c r="M88" i="1"/>
  <c r="M89" i="1"/>
  <c r="N90" i="1"/>
  <c r="E92" i="1"/>
  <c r="E93" i="1"/>
  <c r="F94" i="1"/>
  <c r="G95" i="1"/>
  <c r="G96" i="1"/>
  <c r="H97" i="1"/>
  <c r="I98" i="1"/>
  <c r="I99" i="1"/>
  <c r="J100" i="1"/>
  <c r="K101" i="1"/>
  <c r="K102" i="1"/>
  <c r="L103" i="1"/>
  <c r="M104" i="1"/>
  <c r="M105" i="1"/>
  <c r="N106" i="1"/>
  <c r="E108" i="1"/>
  <c r="E109" i="1"/>
  <c r="F110" i="1"/>
  <c r="G111" i="1"/>
  <c r="G112" i="1"/>
  <c r="H113" i="1"/>
  <c r="I114" i="1"/>
  <c r="G115" i="1"/>
  <c r="E116" i="1"/>
  <c r="M116" i="1"/>
  <c r="K117" i="1"/>
  <c r="I118" i="1"/>
  <c r="F119" i="1"/>
  <c r="K119" i="1"/>
  <c r="G120" i="1"/>
  <c r="L120" i="1"/>
  <c r="G121" i="1"/>
  <c r="M121" i="1"/>
  <c r="H122" i="1"/>
  <c r="M122" i="1"/>
  <c r="I123" i="1"/>
  <c r="N123" i="1"/>
  <c r="I124" i="1"/>
  <c r="E125" i="1"/>
  <c r="J125" i="1"/>
  <c r="E126" i="1"/>
  <c r="K126" i="1"/>
  <c r="F127" i="1"/>
  <c r="K127" i="1"/>
  <c r="G128" i="1"/>
  <c r="L128" i="1"/>
  <c r="G129" i="1"/>
  <c r="M129" i="1"/>
  <c r="H130" i="1"/>
  <c r="M130" i="1"/>
  <c r="I131" i="1"/>
  <c r="N131" i="1"/>
  <c r="I132" i="1"/>
  <c r="E133" i="1"/>
  <c r="J133" i="1"/>
  <c r="E134" i="1"/>
  <c r="K134" i="1"/>
  <c r="F135" i="1"/>
  <c r="K135" i="1"/>
  <c r="G136" i="1"/>
  <c r="L136" i="1"/>
  <c r="G137" i="1"/>
  <c r="M137" i="1"/>
  <c r="H138" i="1"/>
  <c r="M138" i="1"/>
  <c r="E77" i="1"/>
  <c r="G79" i="1"/>
  <c r="H81" i="1"/>
  <c r="I83" i="1"/>
  <c r="K85" i="1"/>
  <c r="E87" i="1"/>
  <c r="F88" i="1"/>
  <c r="G89" i="1"/>
  <c r="G90" i="1"/>
  <c r="H91" i="1"/>
  <c r="I92" i="1"/>
  <c r="I93" i="1"/>
  <c r="J94" i="1"/>
  <c r="K95" i="1"/>
  <c r="K96" i="1"/>
  <c r="L97" i="1"/>
  <c r="M98" i="1"/>
  <c r="M99" i="1"/>
  <c r="N100" i="1"/>
  <c r="E102" i="1"/>
  <c r="E103" i="1"/>
  <c r="F104" i="1"/>
  <c r="G105" i="1"/>
  <c r="G106" i="1"/>
  <c r="H107" i="1"/>
  <c r="I108" i="1"/>
  <c r="I109" i="1"/>
  <c r="J110" i="1"/>
  <c r="K111" i="1"/>
  <c r="K112" i="1"/>
  <c r="L113" i="1"/>
  <c r="L114" i="1"/>
  <c r="J115" i="1"/>
  <c r="H116" i="1"/>
  <c r="F117" i="1"/>
  <c r="N117" i="1"/>
  <c r="K118" i="1"/>
  <c r="G119" i="1"/>
  <c r="M119" i="1"/>
  <c r="H120" i="1"/>
  <c r="M120" i="1"/>
  <c r="I121" i="1"/>
  <c r="N121" i="1"/>
  <c r="I122" i="1"/>
  <c r="E123" i="1"/>
  <c r="J123" i="1"/>
  <c r="E124" i="1"/>
  <c r="K124" i="1"/>
  <c r="F125" i="1"/>
  <c r="K125" i="1"/>
  <c r="G126" i="1"/>
  <c r="L126" i="1"/>
  <c r="G127" i="1"/>
  <c r="M127" i="1"/>
  <c r="H128" i="1"/>
  <c r="M128" i="1"/>
  <c r="I129" i="1"/>
  <c r="N129" i="1"/>
  <c r="I130" i="1"/>
  <c r="E131" i="1"/>
  <c r="J131" i="1"/>
  <c r="E132" i="1"/>
  <c r="K132" i="1"/>
  <c r="F133" i="1"/>
  <c r="K133" i="1"/>
  <c r="G134" i="1"/>
  <c r="L134" i="1"/>
  <c r="G135" i="1"/>
  <c r="M135" i="1"/>
  <c r="H136" i="1"/>
  <c r="M136" i="1"/>
  <c r="I137" i="1"/>
  <c r="N137" i="1"/>
  <c r="I138" i="1"/>
  <c r="K77" i="1"/>
  <c r="L79" i="1"/>
  <c r="M81" i="1"/>
  <c r="E84" i="1"/>
  <c r="F86" i="1"/>
  <c r="G87" i="1"/>
  <c r="G88" i="1"/>
  <c r="H89" i="1"/>
  <c r="I90" i="1"/>
  <c r="I91" i="1"/>
  <c r="J92" i="1"/>
  <c r="K93" i="1"/>
  <c r="K94" i="1"/>
  <c r="L95" i="1"/>
  <c r="M96" i="1"/>
  <c r="M97" i="1"/>
  <c r="N98" i="1"/>
  <c r="E100" i="1"/>
  <c r="E101" i="1"/>
  <c r="F102" i="1"/>
  <c r="G103" i="1"/>
  <c r="G104" i="1"/>
  <c r="H105" i="1"/>
  <c r="I106" i="1"/>
  <c r="I107" i="1"/>
  <c r="J108" i="1"/>
  <c r="K109" i="1"/>
  <c r="K110" i="1"/>
  <c r="L111" i="1"/>
  <c r="M112" i="1"/>
  <c r="M113" i="1"/>
  <c r="M114" i="1"/>
  <c r="K115" i="1"/>
  <c r="I116" i="1"/>
  <c r="G117" i="1"/>
  <c r="E118" i="1"/>
  <c r="L118" i="1"/>
  <c r="I119" i="1"/>
  <c r="N119" i="1"/>
  <c r="I120" i="1"/>
  <c r="E121" i="1"/>
  <c r="J121" i="1"/>
  <c r="E122" i="1"/>
  <c r="K122" i="1"/>
  <c r="F123" i="1"/>
  <c r="K123" i="1"/>
  <c r="G124" i="1"/>
  <c r="L124" i="1"/>
  <c r="G125" i="1"/>
  <c r="M125" i="1"/>
  <c r="H126" i="1"/>
  <c r="M126" i="1"/>
  <c r="I127" i="1"/>
  <c r="N127" i="1"/>
  <c r="I128" i="1"/>
  <c r="E129" i="1"/>
  <c r="J129" i="1"/>
  <c r="E130" i="1"/>
  <c r="K130" i="1"/>
  <c r="F131" i="1"/>
  <c r="K131" i="1"/>
  <c r="G132" i="1"/>
  <c r="L132" i="1"/>
  <c r="G133" i="1"/>
  <c r="M133" i="1"/>
  <c r="H134" i="1"/>
  <c r="M134" i="1"/>
  <c r="I135" i="1"/>
  <c r="N135" i="1"/>
  <c r="I136" i="1"/>
  <c r="E137" i="1"/>
  <c r="J137" i="1"/>
  <c r="E138" i="1"/>
  <c r="K138" i="1"/>
  <c r="F78" i="1"/>
  <c r="G80" i="1"/>
  <c r="I82" i="1"/>
  <c r="J84" i="1"/>
  <c r="J86" i="1"/>
  <c r="K87" i="1"/>
  <c r="K88" i="1"/>
  <c r="L89" i="1"/>
  <c r="M90" i="1"/>
  <c r="M91" i="1"/>
  <c r="N92" i="1"/>
  <c r="E94" i="1"/>
  <c r="E95" i="1"/>
  <c r="F96" i="1"/>
  <c r="G97" i="1"/>
  <c r="G98" i="1"/>
  <c r="H99" i="1"/>
  <c r="I100" i="1"/>
  <c r="I101" i="1"/>
  <c r="J102" i="1"/>
  <c r="K103" i="1"/>
  <c r="K104" i="1"/>
  <c r="L105" i="1"/>
  <c r="M106" i="1"/>
  <c r="M107" i="1"/>
  <c r="N108" i="1"/>
  <c r="E110" i="1"/>
  <c r="E111" i="1"/>
  <c r="F112" i="1"/>
  <c r="G113" i="1"/>
  <c r="G114" i="1"/>
  <c r="F115" i="1"/>
  <c r="N115" i="1"/>
  <c r="L116" i="1"/>
  <c r="J117" i="1"/>
  <c r="H118" i="1"/>
  <c r="M118" i="1"/>
  <c r="J119" i="1"/>
  <c r="E120" i="1"/>
  <c r="K120" i="1"/>
  <c r="F121" i="1"/>
  <c r="K121" i="1"/>
  <c r="G122" i="1"/>
  <c r="L122" i="1"/>
  <c r="G123" i="1"/>
  <c r="M123" i="1"/>
  <c r="H124" i="1"/>
  <c r="M124" i="1"/>
  <c r="I125" i="1"/>
  <c r="N125" i="1"/>
  <c r="I126" i="1"/>
  <c r="E127" i="1"/>
  <c r="J127" i="1"/>
  <c r="E128" i="1"/>
  <c r="K128" i="1"/>
  <c r="F129" i="1"/>
  <c r="K129" i="1"/>
  <c r="G130" i="1"/>
  <c r="L130" i="1"/>
  <c r="G131" i="1"/>
  <c r="M131" i="1"/>
  <c r="H132" i="1"/>
  <c r="M132" i="1"/>
  <c r="I133" i="1"/>
  <c r="N133" i="1"/>
  <c r="I134" i="1"/>
  <c r="E135" i="1"/>
  <c r="J135" i="1"/>
  <c r="E136" i="1"/>
  <c r="K136" i="1"/>
  <c r="F137" i="1"/>
  <c r="K137" i="1"/>
  <c r="G138" i="1"/>
  <c r="L138" i="1"/>
  <c r="C38" i="1"/>
  <c r="C40" i="1"/>
  <c r="C42" i="1"/>
  <c r="C44" i="1"/>
  <c r="C46" i="1"/>
  <c r="C48" i="1"/>
  <c r="C50" i="1"/>
  <c r="C52" i="1"/>
  <c r="C54" i="1"/>
  <c r="C56" i="1"/>
  <c r="C58" i="1"/>
  <c r="C60" i="1"/>
  <c r="C62" i="1"/>
  <c r="C64" i="1"/>
  <c r="C66" i="1"/>
  <c r="C68" i="1"/>
  <c r="C70" i="1"/>
  <c r="C72" i="1"/>
  <c r="C74" i="1"/>
  <c r="C76" i="1"/>
  <c r="C78" i="1"/>
  <c r="C80" i="1"/>
  <c r="C82" i="1"/>
  <c r="C84" i="1"/>
  <c r="C86" i="1"/>
  <c r="C88" i="1"/>
  <c r="C90" i="1"/>
  <c r="C92" i="1"/>
  <c r="C94" i="1"/>
  <c r="C96" i="1"/>
  <c r="C98" i="1"/>
  <c r="C100" i="1"/>
  <c r="C102" i="1"/>
  <c r="C104" i="1"/>
  <c r="C106" i="1"/>
  <c r="C108" i="1"/>
  <c r="C110" i="1"/>
  <c r="C112" i="1"/>
  <c r="C114" i="1"/>
  <c r="C116" i="1"/>
  <c r="C118" i="1"/>
  <c r="C120" i="1"/>
  <c r="C122" i="1"/>
  <c r="C124" i="1"/>
  <c r="C126" i="1"/>
  <c r="C128" i="1"/>
  <c r="C130" i="1"/>
  <c r="C132" i="1"/>
  <c r="C134" i="1"/>
  <c r="C136" i="1"/>
  <c r="C138" i="1"/>
  <c r="C39" i="1"/>
  <c r="C41" i="1"/>
  <c r="C43" i="1"/>
  <c r="C45" i="1"/>
  <c r="C47" i="1"/>
  <c r="C49" i="1"/>
  <c r="C51" i="1"/>
  <c r="C53" i="1"/>
  <c r="C55" i="1"/>
  <c r="C57" i="1"/>
  <c r="C59" i="1"/>
  <c r="C61" i="1"/>
  <c r="C63" i="1"/>
  <c r="C65" i="1"/>
  <c r="C67" i="1"/>
  <c r="C69" i="1"/>
  <c r="C71" i="1"/>
  <c r="C73" i="1"/>
  <c r="C75" i="1"/>
  <c r="C77" i="1"/>
  <c r="C79" i="1"/>
  <c r="C81" i="1"/>
  <c r="C83" i="1"/>
  <c r="C85" i="1"/>
  <c r="C87" i="1"/>
  <c r="C89" i="1"/>
  <c r="C91" i="1"/>
  <c r="C93" i="1"/>
  <c r="C95" i="1"/>
  <c r="C97" i="1"/>
  <c r="C99" i="1"/>
  <c r="C101" i="1"/>
  <c r="C103" i="1"/>
  <c r="C105" i="1"/>
  <c r="B39" i="1"/>
  <c r="B41" i="1"/>
  <c r="B43" i="1"/>
  <c r="B45" i="1"/>
  <c r="B47" i="1"/>
  <c r="B49" i="1"/>
  <c r="B51" i="1"/>
  <c r="B53" i="1"/>
  <c r="B55" i="1"/>
  <c r="B57" i="1"/>
  <c r="B59" i="1"/>
  <c r="B61" i="1"/>
  <c r="B63" i="1"/>
  <c r="B65" i="1"/>
  <c r="B67" i="1"/>
  <c r="B69" i="1"/>
  <c r="B71" i="1"/>
  <c r="B73" i="1"/>
  <c r="B75" i="1"/>
  <c r="B77" i="1"/>
  <c r="B79" i="1"/>
  <c r="B81" i="1"/>
  <c r="B83" i="1"/>
  <c r="B85" i="1"/>
  <c r="B87" i="1"/>
  <c r="B89" i="1"/>
  <c r="B91" i="1"/>
  <c r="B93" i="1"/>
  <c r="B95" i="1"/>
  <c r="B97" i="1"/>
  <c r="B99" i="1"/>
  <c r="B101" i="1"/>
  <c r="B103" i="1"/>
  <c r="B105" i="1"/>
  <c r="B107" i="1"/>
  <c r="B109" i="1"/>
  <c r="B111" i="1"/>
  <c r="B113" i="1"/>
  <c r="B115" i="1"/>
  <c r="B117" i="1"/>
  <c r="B119" i="1"/>
  <c r="B121" i="1"/>
  <c r="B123" i="1"/>
  <c r="B125" i="1"/>
  <c r="B127" i="1"/>
  <c r="B129" i="1"/>
  <c r="B131" i="1"/>
  <c r="B133" i="1"/>
  <c r="B135" i="1"/>
  <c r="B137" i="1"/>
  <c r="B44" i="1"/>
  <c r="B52" i="1"/>
  <c r="B60" i="1"/>
  <c r="B68" i="1"/>
  <c r="B76" i="1"/>
  <c r="B84" i="1"/>
  <c r="B92" i="1"/>
  <c r="B100" i="1"/>
  <c r="C107" i="1"/>
  <c r="C111" i="1"/>
  <c r="C115" i="1"/>
  <c r="C119" i="1"/>
  <c r="C123" i="1"/>
  <c r="C127" i="1"/>
  <c r="C131" i="1"/>
  <c r="C135" i="1"/>
  <c r="B38" i="1"/>
  <c r="B46" i="1"/>
  <c r="B54" i="1"/>
  <c r="B62" i="1"/>
  <c r="B70" i="1"/>
  <c r="B78" i="1"/>
  <c r="B86" i="1"/>
  <c r="B94" i="1"/>
  <c r="B102" i="1"/>
  <c r="B108" i="1"/>
  <c r="B112" i="1"/>
  <c r="B116" i="1"/>
  <c r="B120" i="1"/>
  <c r="B124" i="1"/>
  <c r="B128" i="1"/>
  <c r="B132" i="1"/>
  <c r="B136" i="1"/>
  <c r="B40" i="1"/>
  <c r="B48" i="1"/>
  <c r="B56" i="1"/>
  <c r="B64" i="1"/>
  <c r="B72" i="1"/>
  <c r="B80" i="1"/>
  <c r="B88" i="1"/>
  <c r="B96" i="1"/>
  <c r="B104" i="1"/>
  <c r="C109" i="1"/>
  <c r="C113" i="1"/>
  <c r="C117" i="1"/>
  <c r="C121" i="1"/>
  <c r="C125" i="1"/>
  <c r="C129" i="1"/>
  <c r="C133" i="1"/>
  <c r="C137" i="1"/>
  <c r="B42" i="1"/>
  <c r="B50" i="1"/>
  <c r="B58" i="1"/>
  <c r="B66" i="1"/>
  <c r="B74" i="1"/>
  <c r="B82" i="1"/>
  <c r="B90" i="1"/>
  <c r="B98" i="1"/>
  <c r="B106" i="1"/>
  <c r="B110" i="1"/>
  <c r="B114" i="1"/>
  <c r="B118" i="1"/>
  <c r="B122" i="1"/>
  <c r="B126" i="1"/>
  <c r="B130" i="1"/>
  <c r="B134" i="1"/>
  <c r="B138" i="1"/>
  <c r="H36" i="1"/>
  <c r="F36" i="1"/>
  <c r="J36" i="1"/>
  <c r="N36" i="1"/>
  <c r="G36" i="1"/>
  <c r="K36" i="1"/>
  <c r="L36" i="1"/>
  <c r="E36" i="1"/>
  <c r="I36" i="1"/>
  <c r="M36" i="1"/>
  <c r="G35" i="1"/>
  <c r="K35" i="1"/>
  <c r="H35" i="1"/>
  <c r="L35" i="1"/>
  <c r="E35" i="1"/>
  <c r="I35" i="1"/>
  <c r="M35" i="1"/>
  <c r="F35" i="1"/>
  <c r="J35" i="1"/>
  <c r="N35" i="1"/>
  <c r="B36" i="1"/>
  <c r="C36" i="1"/>
  <c r="B35" i="1"/>
  <c r="C35" i="1"/>
</calcChain>
</file>

<file path=xl/sharedStrings.xml><?xml version="1.0" encoding="utf-8"?>
<sst xmlns="http://schemas.openxmlformats.org/spreadsheetml/2006/main" count="60" uniqueCount="48">
  <si>
    <t>Mu</t>
  </si>
  <si>
    <t>LB</t>
  </si>
  <si>
    <t>UB</t>
  </si>
  <si>
    <t>Covariance</t>
  </si>
  <si>
    <t>FTSE/JSE All Share TR ZAR</t>
  </si>
  <si>
    <t>Beassa ALBI TR ZAR</t>
  </si>
  <si>
    <t>FTSE/JSE SA Listed Property TR ZAR</t>
  </si>
  <si>
    <t>STeFI Composite ZAR</t>
  </si>
  <si>
    <t>SA Hedge Composite Average</t>
  </si>
  <si>
    <t>MSCI World NR USD</t>
  </si>
  <si>
    <t>BBgBarc Global Aggregate TR USD</t>
  </si>
  <si>
    <t>BBgBarc US Treasury Bill 1-3 Mon TR USD</t>
  </si>
  <si>
    <t>FTSE NAREIT Composite TR</t>
  </si>
  <si>
    <t>MSCI EFM Africa Ex ZAF NR USD</t>
  </si>
  <si>
    <t>Total</t>
  </si>
  <si>
    <t>Total Equity</t>
  </si>
  <si>
    <t>Domestic Hedge</t>
  </si>
  <si>
    <t>Total Equities + Property</t>
  </si>
  <si>
    <t>Total Foreign</t>
  </si>
  <si>
    <t>Constraints</t>
  </si>
  <si>
    <t>Limits</t>
  </si>
  <si>
    <t>Lower Bound</t>
  </si>
  <si>
    <t>Upper Bound</t>
  </si>
  <si>
    <t>Min Risk</t>
  </si>
  <si>
    <t>Max Return</t>
  </si>
  <si>
    <t>Frontier</t>
  </si>
  <si>
    <t>Volatility</t>
  </si>
  <si>
    <t>Return</t>
  </si>
  <si>
    <t>Port Wgt</t>
  </si>
  <si>
    <t>Asset 1</t>
  </si>
  <si>
    <t>Asset 2</t>
  </si>
  <si>
    <t>Asset 3</t>
  </si>
  <si>
    <t>Asset 4</t>
  </si>
  <si>
    <t>Asset 5</t>
  </si>
  <si>
    <t>Asset 6</t>
  </si>
  <si>
    <t>Asset 7</t>
  </si>
  <si>
    <t>Asset 8</t>
  </si>
  <si>
    <t>Asset 9</t>
  </si>
  <si>
    <t>Asset 10</t>
  </si>
  <si>
    <t>Specific Return</t>
  </si>
  <si>
    <t>Self Check</t>
  </si>
  <si>
    <t>correct</t>
  </si>
  <si>
    <t xml:space="preserve">Vol is </t>
  </si>
  <si>
    <t xml:space="preserve">Return is </t>
  </si>
  <si>
    <t xml:space="preserve">bounds on wgt </t>
  </si>
  <si>
    <t>are satisfied</t>
  </si>
  <si>
    <t>bounds on grp</t>
  </si>
  <si>
    <t>Wgts sum to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</si>
</sst>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 * #,##0.00_ ;_ * \-#,##0.00_ ;_ * &quot;-&quot;??_ ;_ @_ "/>
    <numFmt numFmtId="165" formatCode="_ * #,##0_ ;_ * \-#,##0_ ;_ * &quot;-&quot;??_ ;_ @_ "/>
    <numFmt numFmtId="166" formatCode="0.0%"/>
  </numFmts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 Narrow"/>
      <family val="2"/>
      <scheme val="minor"/>
    </font>
    <font>
      <b/>
      <sz val="10"/>
      <color rgb="FF0000FF"/>
      <name val="Arial Narrow"/>
      <family val="2"/>
      <scheme val="minor"/>
    </font>
    <font>
      <b/>
      <sz val="10"/>
      <color rgb="FFFF0000"/>
      <name val="Arial Narrow"/>
      <family val="2"/>
      <scheme val="minor"/>
    </font>
    <font>
      <sz val="10"/>
      <color theme="4" tint="0.3999755851924192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i/>
      <sz val="8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1">
    <xf numFmtId="0" fontId="0" fillId="0" borderId="0" xfId="0"/>
    <xf numFmtId="10" fontId="0" fillId="0" borderId="0" xfId="1" applyNumberFormat="1" applyFont="1" applyAlignment="1">
      <alignment horizontal="center" vertical="center"/>
    </xf>
    <xf numFmtId="164" fontId="2" fillId="0" borderId="0" xfId="0" applyNumberFormat="1" applyFont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0" fontId="2" fillId="0" borderId="0" xfId="0" applyNumberFormat="1" applyFont="1" applyAlignment="1">
      <alignment horizontal="left" vertical="center"/>
    </xf>
    <xf numFmtId="10" fontId="3" fillId="0" borderId="0" xfId="1" applyNumberFormat="1" applyFont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left" vertical="center"/>
    </xf>
    <xf numFmtId="166" fontId="0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9" fontId="4" fillId="0" borderId="0" xfId="1" applyFont="1" applyAlignment="1">
      <alignment horizontal="center" vertical="center"/>
    </xf>
    <xf numFmtId="166" fontId="5" fillId="0" borderId="1" xfId="1" applyNumberFormat="1" applyFont="1" applyBorder="1"/>
    <xf numFmtId="166" fontId="5" fillId="0" borderId="2" xfId="1" applyNumberFormat="1" applyFont="1" applyBorder="1"/>
    <xf numFmtId="166" fontId="5" fillId="0" borderId="3" xfId="1" applyNumberFormat="1" applyFont="1" applyBorder="1"/>
    <xf numFmtId="166" fontId="5" fillId="0" borderId="4" xfId="1" applyNumberFormat="1" applyFont="1" applyBorder="1"/>
    <xf numFmtId="166" fontId="5" fillId="0" borderId="5" xfId="1" applyNumberFormat="1" applyFont="1" applyBorder="1"/>
    <xf numFmtId="166" fontId="5" fillId="0" borderId="6" xfId="1" applyNumberFormat="1" applyFont="1" applyBorder="1"/>
    <xf numFmtId="166" fontId="5" fillId="0" borderId="7" xfId="1" applyNumberFormat="1" applyFont="1" applyBorder="1"/>
    <xf numFmtId="166" fontId="5" fillId="0" borderId="8" xfId="1" applyNumberFormat="1" applyFont="1" applyBorder="1"/>
    <xf numFmtId="166" fontId="5" fillId="0" borderId="9" xfId="1" applyNumberFormat="1" applyFont="1" applyBorder="1"/>
    <xf numFmtId="166" fontId="5" fillId="0" borderId="10" xfId="1" applyNumberFormat="1" applyFont="1" applyBorder="1"/>
    <xf numFmtId="166" fontId="5" fillId="0" borderId="0" xfId="1" applyNumberFormat="1" applyFont="1" applyBorder="1"/>
    <xf numFmtId="166" fontId="5" fillId="0" borderId="11" xfId="1" applyNumberFormat="1" applyFont="1" applyBorder="1"/>
    <xf numFmtId="0" fontId="7" fillId="0" borderId="0" xfId="0" applyFont="1"/>
    <xf numFmtId="0" fontId="8" fillId="0" borderId="0" xfId="0" applyFont="1"/>
    <xf numFmtId="166" fontId="5" fillId="0" borderId="12" xfId="1" applyNumberFormat="1" applyFont="1" applyBorder="1"/>
    <xf numFmtId="9" fontId="6" fillId="0" borderId="1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6"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56119373967144"/>
          <c:y val="5.0925925925925923E-2"/>
          <c:w val="0.80607781666180611"/>
          <c:h val="0.7798101487314085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Sheet1!$B$38:$B$501</c:f>
              <c:numCache>
                <c:formatCode>0.0%</c:formatCode>
                <c:ptCount val="464"/>
                <c:pt idx="0">
                  <c:v>7.408059874529424E-2</c:v>
                </c:pt>
                <c:pt idx="1">
                  <c:v>7.4080681142787166E-2</c:v>
                </c:pt>
                <c:pt idx="2">
                  <c:v>7.4080927932888674E-2</c:v>
                </c:pt>
                <c:pt idx="3">
                  <c:v>7.4081337769370093E-2</c:v>
                </c:pt>
                <c:pt idx="4">
                  <c:v>7.4081911378561835E-2</c:v>
                </c:pt>
                <c:pt idx="5">
                  <c:v>7.4082648686858391E-2</c:v>
                </c:pt>
                <c:pt idx="6">
                  <c:v>7.4083549755084785E-2</c:v>
                </c:pt>
                <c:pt idx="7">
                  <c:v>7.4084614585243333E-2</c:v>
                </c:pt>
                <c:pt idx="8">
                  <c:v>7.4085838213143143E-2</c:v>
                </c:pt>
                <c:pt idx="9">
                  <c:v>7.4087230624929654E-2</c:v>
                </c:pt>
                <c:pt idx="10">
                  <c:v>7.4088786788147343E-2</c:v>
                </c:pt>
                <c:pt idx="11">
                  <c:v>7.4090506692232244E-2</c:v>
                </c:pt>
                <c:pt idx="12">
                  <c:v>7.4092399660960054E-2</c:v>
                </c:pt>
                <c:pt idx="13">
                  <c:v>7.409444688097315E-2</c:v>
                </c:pt>
                <c:pt idx="14">
                  <c:v>7.4096647414365627E-2</c:v>
                </c:pt>
                <c:pt idx="15">
                  <c:v>7.4099022183634983E-2</c:v>
                </c:pt>
                <c:pt idx="16">
                  <c:v>7.4101560623930404E-2</c:v>
                </c:pt>
                <c:pt idx="17">
                  <c:v>7.4104262718446903E-2</c:v>
                </c:pt>
                <c:pt idx="18">
                  <c:v>7.4107128449293416E-2</c:v>
                </c:pt>
                <c:pt idx="19">
                  <c:v>7.4110166839454858E-2</c:v>
                </c:pt>
                <c:pt idx="20">
                  <c:v>7.4113359670466339E-2</c:v>
                </c:pt>
                <c:pt idx="21">
                  <c:v>7.4116707679194593E-2</c:v>
                </c:pt>
                <c:pt idx="22">
                  <c:v>7.4120227742517891E-2</c:v>
                </c:pt>
                <c:pt idx="23">
                  <c:v>7.4123911177275736E-2</c:v>
                </c:pt>
                <c:pt idx="24">
                  <c:v>7.4127758103294403E-2</c:v>
                </c:pt>
                <c:pt idx="25">
                  <c:v>7.4131768696397718E-2</c:v>
                </c:pt>
                <c:pt idx="26">
                  <c:v>7.4135942743749891E-2</c:v>
                </c:pt>
                <c:pt idx="27">
                  <c:v>7.4140280217746893E-2</c:v>
                </c:pt>
                <c:pt idx="28">
                  <c:v>7.4144781089709622E-2</c:v>
                </c:pt>
                <c:pt idx="29">
                  <c:v>7.4149445329884864E-2</c:v>
                </c:pt>
                <c:pt idx="30">
                  <c:v>7.4154272907446347E-2</c:v>
                </c:pt>
                <c:pt idx="31">
                  <c:v>7.4159263790495852E-2</c:v>
                </c:pt>
                <c:pt idx="32">
                  <c:v>7.416441794606439E-2</c:v>
                </c:pt>
                <c:pt idx="33">
                  <c:v>7.4169735340113105E-2</c:v>
                </c:pt>
                <c:pt idx="34">
                  <c:v>7.4175215937534511E-2</c:v>
                </c:pt>
                <c:pt idx="35">
                  <c:v>7.4180859702153504E-2</c:v>
                </c:pt>
                <c:pt idx="36">
                  <c:v>7.4186666596728734E-2</c:v>
                </c:pt>
                <c:pt idx="37">
                  <c:v>7.4192636582953442E-2</c:v>
                </c:pt>
                <c:pt idx="38">
                  <c:v>7.4198769621456773E-2</c:v>
                </c:pt>
                <c:pt idx="39">
                  <c:v>7.4205065669879097E-2</c:v>
                </c:pt>
                <c:pt idx="40">
                  <c:v>7.4211524686689914E-2</c:v>
                </c:pt>
                <c:pt idx="41">
                  <c:v>7.4218149328738867E-2</c:v>
                </c:pt>
                <c:pt idx="42">
                  <c:v>7.4224934033003898E-2</c:v>
                </c:pt>
                <c:pt idx="43">
                  <c:v>7.4231881595010735E-2</c:v>
                </c:pt>
                <c:pt idx="44">
                  <c:v>7.4238991967591955E-2</c:v>
                </c:pt>
                <c:pt idx="45">
                  <c:v>7.4246265103038445E-2</c:v>
                </c:pt>
                <c:pt idx="46">
                  <c:v>7.4253700956373764E-2</c:v>
                </c:pt>
                <c:pt idx="47">
                  <c:v>7.4261299474319628E-2</c:v>
                </c:pt>
                <c:pt idx="48">
                  <c:v>7.4269060607455542E-2</c:v>
                </c:pt>
                <c:pt idx="49">
                  <c:v>7.4276984306027707E-2</c:v>
                </c:pt>
                <c:pt idx="50">
                  <c:v>7.4285070519994389E-2</c:v>
                </c:pt>
                <c:pt idx="51">
                  <c:v>7.4293319199274635E-2</c:v>
                </c:pt>
                <c:pt idx="52">
                  <c:v>7.430173029413395E-2</c:v>
                </c:pt>
                <c:pt idx="53">
                  <c:v>7.4310303755801249E-2</c:v>
                </c:pt>
                <c:pt idx="54">
                  <c:v>7.431903953750453E-2</c:v>
                </c:pt>
                <c:pt idx="55">
                  <c:v>7.4327937596317811E-2</c:v>
                </c:pt>
                <c:pt idx="56">
                  <c:v>7.4336997896670809E-2</c:v>
                </c:pt>
                <c:pt idx="57">
                  <c:v>7.4346220417402992E-2</c:v>
                </c:pt>
                <c:pt idx="58">
                  <c:v>7.4355605166508409E-2</c:v>
                </c:pt>
                <c:pt idx="59">
                  <c:v>7.4365182954318682E-2</c:v>
                </c:pt>
                <c:pt idx="60">
                  <c:v>7.4374857131375247E-2</c:v>
                </c:pt>
                <c:pt idx="61">
                  <c:v>7.4384750091071261E-2</c:v>
                </c:pt>
                <c:pt idx="62">
                  <c:v>7.4394776147785655E-2</c:v>
                </c:pt>
                <c:pt idx="63">
                  <c:v>7.4404956277918363E-2</c:v>
                </c:pt>
                <c:pt idx="64">
                  <c:v>7.4415317696607738E-2</c:v>
                </c:pt>
                <c:pt idx="65">
                  <c:v>7.4425827967703931E-2</c:v>
                </c:pt>
                <c:pt idx="66">
                  <c:v>7.4436452088269892E-2</c:v>
                </c:pt>
                <c:pt idx="67">
                  <c:v>7.4447169740846655E-2</c:v>
                </c:pt>
                <c:pt idx="68">
                  <c:v>7.445797079140859E-2</c:v>
                </c:pt>
                <c:pt idx="69">
                  <c:v>7.4468859767382614E-2</c:v>
                </c:pt>
                <c:pt idx="70">
                  <c:v>7.4479832942420082E-2</c:v>
                </c:pt>
                <c:pt idx="71">
                  <c:v>7.449088953711723E-2</c:v>
                </c:pt>
                <c:pt idx="72">
                  <c:v>7.4502034644651965E-2</c:v>
                </c:pt>
                <c:pt idx="73">
                  <c:v>7.4513270418346628E-2</c:v>
                </c:pt>
                <c:pt idx="74">
                  <c:v>7.4524586394673839E-2</c:v>
                </c:pt>
                <c:pt idx="75">
                  <c:v>7.4535988164057612E-2</c:v>
                </c:pt>
                <c:pt idx="76">
                  <c:v>7.4547475669838589E-2</c:v>
                </c:pt>
                <c:pt idx="77">
                  <c:v>7.4559046311423405E-2</c:v>
                </c:pt>
                <c:pt idx="78">
                  <c:v>7.4570705389136391E-2</c:v>
                </c:pt>
                <c:pt idx="79">
                  <c:v>7.4582449530807698E-2</c:v>
                </c:pt>
                <c:pt idx="80">
                  <c:v>7.4594279634696462E-2</c:v>
                </c:pt>
                <c:pt idx="81">
                  <c:v>7.4606195183560042E-2</c:v>
                </c:pt>
                <c:pt idx="82">
                  <c:v>7.4618196136387122E-2</c:v>
                </c:pt>
                <c:pt idx="83">
                  <c:v>7.4630282451900135E-2</c:v>
                </c:pt>
                <c:pt idx="84">
                  <c:v>7.4642454088557644E-2</c:v>
                </c:pt>
                <c:pt idx="85">
                  <c:v>7.4654711004555591E-2</c:v>
                </c:pt>
                <c:pt idx="86">
                  <c:v>7.4667053157827346E-2</c:v>
                </c:pt>
                <c:pt idx="87">
                  <c:v>7.467948061172372E-2</c:v>
                </c:pt>
                <c:pt idx="88">
                  <c:v>7.4691993113166197E-2</c:v>
                </c:pt>
                <c:pt idx="89">
                  <c:v>7.4704590725353986E-2</c:v>
                </c:pt>
                <c:pt idx="90">
                  <c:v>7.4717273852411878E-2</c:v>
                </c:pt>
                <c:pt idx="91">
                  <c:v>7.4730041597364294E-2</c:v>
                </c:pt>
                <c:pt idx="92">
                  <c:v>7.4742894254829231E-2</c:v>
                </c:pt>
                <c:pt idx="93">
                  <c:v>7.4755831849803708E-2</c:v>
                </c:pt>
                <c:pt idx="94">
                  <c:v>7.4768854340861821E-2</c:v>
                </c:pt>
                <c:pt idx="95">
                  <c:v>7.4781961451995449E-2</c:v>
                </c:pt>
                <c:pt idx="96">
                  <c:v>7.4795153608745765E-2</c:v>
                </c:pt>
                <c:pt idx="97">
                  <c:v>7.4808430423157352E-2</c:v>
                </c:pt>
                <c:pt idx="98">
                  <c:v>7.482179203906654E-2</c:v>
                </c:pt>
                <c:pt idx="99">
                  <c:v>7.4835247382482678E-2</c:v>
                </c:pt>
                <c:pt idx="100">
                  <c:v>#N/A</c:v>
                </c:pt>
              </c:numCache>
            </c:numRef>
          </c:xVal>
          <c:yVal>
            <c:numRef>
              <c:f>Sheet1!$C$38:$C$501</c:f>
              <c:numCache>
                <c:formatCode>0.0%</c:formatCode>
                <c:ptCount val="464"/>
                <c:pt idx="0">
                  <c:v>9.0142706737275119E-2</c:v>
                </c:pt>
                <c:pt idx="1">
                  <c:v>9.0334993203588732E-2</c:v>
                </c:pt>
                <c:pt idx="2">
                  <c:v>9.0527279669902344E-2</c:v>
                </c:pt>
                <c:pt idx="3">
                  <c:v>9.0719566136215984E-2</c:v>
                </c:pt>
                <c:pt idx="4">
                  <c:v>9.0911852602529597E-2</c:v>
                </c:pt>
                <c:pt idx="5">
                  <c:v>9.1104139068843223E-2</c:v>
                </c:pt>
                <c:pt idx="6">
                  <c:v>9.129642553515685E-2</c:v>
                </c:pt>
                <c:pt idx="7">
                  <c:v>9.1488712001470476E-2</c:v>
                </c:pt>
                <c:pt idx="8">
                  <c:v>9.1680998467784117E-2</c:v>
                </c:pt>
                <c:pt idx="9">
                  <c:v>9.1873284934097729E-2</c:v>
                </c:pt>
                <c:pt idx="10">
                  <c:v>9.2065571400411383E-2</c:v>
                </c:pt>
                <c:pt idx="11">
                  <c:v>9.2257857866724954E-2</c:v>
                </c:pt>
                <c:pt idx="12">
                  <c:v>9.2450144333038595E-2</c:v>
                </c:pt>
                <c:pt idx="13">
                  <c:v>9.2642430799352221E-2</c:v>
                </c:pt>
                <c:pt idx="14">
                  <c:v>9.2834717265665848E-2</c:v>
                </c:pt>
                <c:pt idx="15">
                  <c:v>9.3027003731979474E-2</c:v>
                </c:pt>
                <c:pt idx="16">
                  <c:v>9.3219290198293114E-2</c:v>
                </c:pt>
                <c:pt idx="17">
                  <c:v>9.3411576664606741E-2</c:v>
                </c:pt>
                <c:pt idx="18">
                  <c:v>9.3603863130920353E-2</c:v>
                </c:pt>
                <c:pt idx="19">
                  <c:v>9.3796149597233952E-2</c:v>
                </c:pt>
                <c:pt idx="20">
                  <c:v>9.3988436063547579E-2</c:v>
                </c:pt>
                <c:pt idx="21">
                  <c:v>9.4180722529861219E-2</c:v>
                </c:pt>
                <c:pt idx="22">
                  <c:v>9.4373008996174845E-2</c:v>
                </c:pt>
                <c:pt idx="23">
                  <c:v>9.4565295462488472E-2</c:v>
                </c:pt>
                <c:pt idx="24">
                  <c:v>9.4757581928802084E-2</c:v>
                </c:pt>
                <c:pt idx="25">
                  <c:v>9.4949868395115725E-2</c:v>
                </c:pt>
                <c:pt idx="26">
                  <c:v>9.5142154861429337E-2</c:v>
                </c:pt>
                <c:pt idx="27">
                  <c:v>9.533444132774295E-2</c:v>
                </c:pt>
                <c:pt idx="28">
                  <c:v>9.5526727794056604E-2</c:v>
                </c:pt>
                <c:pt idx="29">
                  <c:v>9.5719014260370203E-2</c:v>
                </c:pt>
                <c:pt idx="30">
                  <c:v>9.5911300726683843E-2</c:v>
                </c:pt>
                <c:pt idx="31">
                  <c:v>9.6103587192997469E-2</c:v>
                </c:pt>
                <c:pt idx="32">
                  <c:v>9.6295873659311054E-2</c:v>
                </c:pt>
                <c:pt idx="33">
                  <c:v>9.6488160125624722E-2</c:v>
                </c:pt>
                <c:pt idx="34">
                  <c:v>9.6680446591938335E-2</c:v>
                </c:pt>
                <c:pt idx="35">
                  <c:v>9.6872733058251961E-2</c:v>
                </c:pt>
                <c:pt idx="36">
                  <c:v>9.7065019524565574E-2</c:v>
                </c:pt>
                <c:pt idx="37">
                  <c:v>9.7257305990879228E-2</c:v>
                </c:pt>
                <c:pt idx="38">
                  <c:v>9.7449592457192841E-2</c:v>
                </c:pt>
                <c:pt idx="39">
                  <c:v>9.7641878923506439E-2</c:v>
                </c:pt>
                <c:pt idx="40">
                  <c:v>9.7834165389820066E-2</c:v>
                </c:pt>
                <c:pt idx="41">
                  <c:v>9.8026451856133706E-2</c:v>
                </c:pt>
                <c:pt idx="42">
                  <c:v>9.8218738322447346E-2</c:v>
                </c:pt>
                <c:pt idx="43">
                  <c:v>9.8411024788760959E-2</c:v>
                </c:pt>
                <c:pt idx="44">
                  <c:v>9.8603311255074585E-2</c:v>
                </c:pt>
                <c:pt idx="45">
                  <c:v>9.8795597721388198E-2</c:v>
                </c:pt>
                <c:pt idx="46">
                  <c:v>9.8987884187701838E-2</c:v>
                </c:pt>
                <c:pt idx="47">
                  <c:v>9.9180170654015437E-2</c:v>
                </c:pt>
                <c:pt idx="48">
                  <c:v>9.9372457120329077E-2</c:v>
                </c:pt>
                <c:pt idx="49">
                  <c:v>9.9564743586642718E-2</c:v>
                </c:pt>
                <c:pt idx="50">
                  <c:v>9.9757030052956316E-2</c:v>
                </c:pt>
                <c:pt idx="51">
                  <c:v>9.9949316519269957E-2</c:v>
                </c:pt>
                <c:pt idx="52">
                  <c:v>0.10014160298558357</c:v>
                </c:pt>
                <c:pt idx="53">
                  <c:v>0.10033388945189718</c:v>
                </c:pt>
                <c:pt idx="54">
                  <c:v>0.10052617591821084</c:v>
                </c:pt>
                <c:pt idx="55">
                  <c:v>0.10071846238452446</c:v>
                </c:pt>
                <c:pt idx="56">
                  <c:v>0.10091074885083806</c:v>
                </c:pt>
                <c:pt idx="57">
                  <c:v>0.10110303531715173</c:v>
                </c:pt>
                <c:pt idx="58">
                  <c:v>0.10129532178346534</c:v>
                </c:pt>
                <c:pt idx="59">
                  <c:v>0.10148760824977893</c:v>
                </c:pt>
                <c:pt idx="60">
                  <c:v>0.10167989471609257</c:v>
                </c:pt>
                <c:pt idx="61">
                  <c:v>0.10187218118240618</c:v>
                </c:pt>
                <c:pt idx="62">
                  <c:v>0.10206446764871982</c:v>
                </c:pt>
                <c:pt idx="63">
                  <c:v>0.10225675411503347</c:v>
                </c:pt>
                <c:pt idx="64">
                  <c:v>0.10244904058134707</c:v>
                </c:pt>
                <c:pt idx="65">
                  <c:v>0.1026413270476607</c:v>
                </c:pt>
                <c:pt idx="66">
                  <c:v>0.10283361351397433</c:v>
                </c:pt>
                <c:pt idx="67">
                  <c:v>0.10302589998028795</c:v>
                </c:pt>
                <c:pt idx="68">
                  <c:v>0.10321818644660154</c:v>
                </c:pt>
                <c:pt idx="69">
                  <c:v>0.10341047291291519</c:v>
                </c:pt>
                <c:pt idx="70">
                  <c:v>0.1036027593792288</c:v>
                </c:pt>
                <c:pt idx="71">
                  <c:v>0.10379504584554244</c:v>
                </c:pt>
                <c:pt idx="72">
                  <c:v>0.10398733231185604</c:v>
                </c:pt>
                <c:pt idx="73">
                  <c:v>0.10417961877816967</c:v>
                </c:pt>
                <c:pt idx="74">
                  <c:v>0.1043719052444833</c:v>
                </c:pt>
                <c:pt idx="75">
                  <c:v>0.10456419171079695</c:v>
                </c:pt>
                <c:pt idx="76">
                  <c:v>0.10475647817711055</c:v>
                </c:pt>
                <c:pt idx="77">
                  <c:v>0.10494876464342422</c:v>
                </c:pt>
                <c:pt idx="78">
                  <c:v>0.10514105110973782</c:v>
                </c:pt>
                <c:pt idx="79">
                  <c:v>0.10533333757605143</c:v>
                </c:pt>
                <c:pt idx="80">
                  <c:v>0.10552562404236505</c:v>
                </c:pt>
                <c:pt idx="81">
                  <c:v>0.10571791050867868</c:v>
                </c:pt>
                <c:pt idx="82">
                  <c:v>0.10591019697499229</c:v>
                </c:pt>
                <c:pt idx="83">
                  <c:v>0.10610248344130591</c:v>
                </c:pt>
                <c:pt idx="84">
                  <c:v>0.10629476990761957</c:v>
                </c:pt>
                <c:pt idx="85">
                  <c:v>0.1064870563739332</c:v>
                </c:pt>
                <c:pt idx="86">
                  <c:v>0.10667934284024683</c:v>
                </c:pt>
                <c:pt idx="87">
                  <c:v>0.10687162930656044</c:v>
                </c:pt>
                <c:pt idx="88">
                  <c:v>0.10706391577287405</c:v>
                </c:pt>
                <c:pt idx="89">
                  <c:v>0.10725620223918769</c:v>
                </c:pt>
                <c:pt idx="90">
                  <c:v>0.1074484887055013</c:v>
                </c:pt>
                <c:pt idx="91">
                  <c:v>0.10764077517181493</c:v>
                </c:pt>
                <c:pt idx="92">
                  <c:v>0.10783306163812857</c:v>
                </c:pt>
                <c:pt idx="93">
                  <c:v>0.1080253481044422</c:v>
                </c:pt>
                <c:pt idx="94">
                  <c:v>0.10821763457075578</c:v>
                </c:pt>
                <c:pt idx="95">
                  <c:v>0.10840992103706941</c:v>
                </c:pt>
                <c:pt idx="96">
                  <c:v>0.10860220750338304</c:v>
                </c:pt>
                <c:pt idx="97">
                  <c:v>0.10879449396969668</c:v>
                </c:pt>
                <c:pt idx="98">
                  <c:v>0.1089867804360103</c:v>
                </c:pt>
                <c:pt idx="99">
                  <c:v>0.10917906690232392</c:v>
                </c:pt>
                <c:pt idx="10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94016"/>
        <c:axId val="111611904"/>
      </c:scatterChart>
      <c:valAx>
        <c:axId val="9469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nextTo"/>
        <c:crossAx val="111611904"/>
        <c:crosses val="autoZero"/>
        <c:crossBetween val="midCat"/>
      </c:valAx>
      <c:valAx>
        <c:axId val="111611904"/>
        <c:scaling>
          <c:orientation val="minMax"/>
          <c:min val="8.0000000000000016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nextTo"/>
        <c:crossAx val="946940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16</xdr:row>
      <xdr:rowOff>38100</xdr:rowOff>
    </xdr:from>
    <xdr:to>
      <xdr:col>14</xdr:col>
      <xdr:colOff>9525</xdr:colOff>
      <xdr:row>30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T138"/>
  <sheetViews>
    <sheetView tabSelected="1" topLeftCell="A16" workbookViewId="0">
      <selection activeCell="D40" sqref="D40"/>
    </sheetView>
  </sheetViews>
  <sheetFormatPr defaultRowHeight="12.75" x14ac:dyDescent="0.2"/>
  <cols>
    <col min="1" max="1" width="34.5703125" bestFit="1" customWidth="1"/>
    <col min="5" max="5" width="9.28515625" bestFit="1" customWidth="1"/>
    <col min="6" max="6" width="12.42578125" bestFit="1" customWidth="1"/>
    <col min="7" max="14" width="9.140625" customWidth="1"/>
  </cols>
  <sheetData>
    <row r="4" spans="1:16" x14ac:dyDescent="0.2">
      <c r="A4" s="2"/>
      <c r="B4" s="3" t="s">
        <v>0</v>
      </c>
      <c r="C4" s="4"/>
      <c r="D4" s="3" t="s">
        <v>1</v>
      </c>
      <c r="E4" s="3" t="s">
        <v>2</v>
      </c>
      <c r="F4" s="4"/>
      <c r="G4" s="5" t="s">
        <v>3</v>
      </c>
      <c r="H4" s="5"/>
      <c r="I4" s="5"/>
      <c r="J4" s="5"/>
      <c r="K4" s="5"/>
      <c r="L4" s="5"/>
      <c r="M4" s="5"/>
      <c r="N4" s="5"/>
      <c r="O4" s="5"/>
      <c r="P4" s="5"/>
    </row>
    <row r="5" spans="1:16" x14ac:dyDescent="0.2">
      <c r="A5" s="6" t="s">
        <v>4</v>
      </c>
      <c r="B5" s="7">
        <v>0.107</v>
      </c>
      <c r="C5" s="1"/>
      <c r="D5" s="8">
        <v>0</v>
      </c>
      <c r="E5" s="8">
        <v>0.75</v>
      </c>
      <c r="F5" s="9"/>
      <c r="G5" s="7">
        <v>1.6264206901362578E-2</v>
      </c>
      <c r="H5" s="7">
        <v>1.1670925260129745E-2</v>
      </c>
      <c r="I5" s="7">
        <v>8.1710582837687395E-3</v>
      </c>
      <c r="J5" s="7">
        <v>9.7334173463493445E-3</v>
      </c>
      <c r="K5" s="7">
        <v>9.5476440877091239E-3</v>
      </c>
      <c r="L5" s="7">
        <v>1.4859077223220666E-3</v>
      </c>
      <c r="M5" s="7">
        <v>7.7393481695183421E-3</v>
      </c>
      <c r="N5" s="7">
        <v>3.2318255533484962E-3</v>
      </c>
      <c r="O5" s="7">
        <v>2.191689500106456E-3</v>
      </c>
      <c r="P5" s="7">
        <v>3.1680119071684039E-3</v>
      </c>
    </row>
    <row r="6" spans="1:16" x14ac:dyDescent="0.2">
      <c r="A6" s="6" t="s">
        <v>5</v>
      </c>
      <c r="B6" s="7">
        <v>6.3E-2</v>
      </c>
      <c r="C6" s="1"/>
      <c r="D6" s="8">
        <v>0</v>
      </c>
      <c r="E6" s="8">
        <v>0.75</v>
      </c>
      <c r="F6" s="9"/>
      <c r="G6" s="7">
        <v>1.1670925260129745E-2</v>
      </c>
      <c r="H6" s="7">
        <v>1.750696456794017E-2</v>
      </c>
      <c r="I6" s="7">
        <v>1.2074923199556078E-2</v>
      </c>
      <c r="J6" s="7">
        <v>1.272756139742234E-2</v>
      </c>
      <c r="K6" s="7">
        <v>1.2706395941121542E-2</v>
      </c>
      <c r="L6" s="7">
        <v>2.6180379692484529E-3</v>
      </c>
      <c r="M6" s="7">
        <v>1.2972480168664976E-2</v>
      </c>
      <c r="N6" s="7">
        <v>5.3755432227674382E-3</v>
      </c>
      <c r="O6" s="7">
        <v>3.4401104916202472E-3</v>
      </c>
      <c r="P6" s="7">
        <v>5.226879279866945E-3</v>
      </c>
    </row>
    <row r="7" spans="1:16" x14ac:dyDescent="0.2">
      <c r="A7" s="6" t="s">
        <v>6</v>
      </c>
      <c r="B7" s="7">
        <v>0.13500000000000001</v>
      </c>
      <c r="C7" s="1"/>
      <c r="D7" s="8">
        <v>0</v>
      </c>
      <c r="E7" s="8">
        <v>0.25</v>
      </c>
      <c r="F7" s="9"/>
      <c r="G7" s="7">
        <v>8.1710582837687395E-3</v>
      </c>
      <c r="H7" s="7">
        <v>1.2074923199556078E-2</v>
      </c>
      <c r="I7" s="7">
        <v>2.2050984283751393E-2</v>
      </c>
      <c r="J7" s="7">
        <v>1.4186871532534957E-2</v>
      </c>
      <c r="K7" s="7">
        <v>1.4129098765889183E-2</v>
      </c>
      <c r="L7" s="7">
        <v>4.6384458761813659E-3</v>
      </c>
      <c r="M7" s="7">
        <v>1.0005774002967168E-2</v>
      </c>
      <c r="N7" s="7">
        <v>1.4087947569021593E-3</v>
      </c>
      <c r="O7" s="7">
        <v>1.782547098866711E-3</v>
      </c>
      <c r="P7" s="7">
        <v>1.1275989139239574E-3</v>
      </c>
    </row>
    <row r="8" spans="1:16" x14ac:dyDescent="0.2">
      <c r="A8" s="6" t="s">
        <v>7</v>
      </c>
      <c r="B8" s="7">
        <v>6.9000000000000006E-2</v>
      </c>
      <c r="C8" s="1"/>
      <c r="D8" s="8">
        <v>0</v>
      </c>
      <c r="E8" s="8">
        <v>0.75</v>
      </c>
      <c r="F8" s="9"/>
      <c r="G8" s="7">
        <v>9.7334173463493445E-3</v>
      </c>
      <c r="H8" s="7">
        <v>1.272756139742234E-2</v>
      </c>
      <c r="I8" s="7">
        <v>1.4186871532534957E-2</v>
      </c>
      <c r="J8" s="7">
        <v>1.2422215755644431E-2</v>
      </c>
      <c r="K8" s="7">
        <v>1.2334565704775554E-2</v>
      </c>
      <c r="L8" s="7">
        <v>3.1525201111111999E-3</v>
      </c>
      <c r="M8" s="7">
        <v>9.0188891857185607E-3</v>
      </c>
      <c r="N8" s="7">
        <v>2.8950528851288057E-3</v>
      </c>
      <c r="O8" s="7">
        <v>2.1668925660407799E-3</v>
      </c>
      <c r="P8" s="7">
        <v>2.6719368045720784E-3</v>
      </c>
    </row>
    <row r="9" spans="1:16" x14ac:dyDescent="0.2">
      <c r="A9" s="6" t="s">
        <v>8</v>
      </c>
      <c r="B9" s="7">
        <v>0.109</v>
      </c>
      <c r="C9" s="1"/>
      <c r="D9" s="8">
        <v>0</v>
      </c>
      <c r="E9" s="8">
        <v>0.1</v>
      </c>
      <c r="F9" s="9"/>
      <c r="G9" s="7">
        <v>9.5476440877091239E-3</v>
      </c>
      <c r="H9" s="7">
        <v>1.2706395941121542E-2</v>
      </c>
      <c r="I9" s="7">
        <v>1.4129098765889183E-2</v>
      </c>
      <c r="J9" s="7">
        <v>1.2334565704775554E-2</v>
      </c>
      <c r="K9" s="7">
        <v>1.2276052827819718E-2</v>
      </c>
      <c r="L9" s="7">
        <v>3.1236340974047754E-3</v>
      </c>
      <c r="M9" s="7">
        <v>8.9537577690349136E-3</v>
      </c>
      <c r="N9" s="7">
        <v>2.8906098517211356E-3</v>
      </c>
      <c r="O9" s="7">
        <v>2.0984351835694388E-3</v>
      </c>
      <c r="P9" s="7">
        <v>2.6594034888329462E-3</v>
      </c>
    </row>
    <row r="10" spans="1:16" x14ac:dyDescent="0.2">
      <c r="A10" s="6" t="s">
        <v>9</v>
      </c>
      <c r="B10" s="7">
        <v>0.13500000000000001</v>
      </c>
      <c r="C10" s="1"/>
      <c r="D10" s="8">
        <v>0</v>
      </c>
      <c r="E10" s="8">
        <v>0.75</v>
      </c>
      <c r="F10" s="9"/>
      <c r="G10" s="7">
        <v>1.4859077223220666E-3</v>
      </c>
      <c r="H10" s="7">
        <v>2.6180379692484529E-3</v>
      </c>
      <c r="I10" s="7">
        <v>4.6384458761813659E-3</v>
      </c>
      <c r="J10" s="7">
        <v>3.1525201111111999E-3</v>
      </c>
      <c r="K10" s="7">
        <v>3.1236340974047754E-3</v>
      </c>
      <c r="L10" s="7">
        <v>1.2803000737923904E-3</v>
      </c>
      <c r="M10" s="7">
        <v>2.0076625254481098E-3</v>
      </c>
      <c r="N10" s="7">
        <v>1.3504251725752968E-4</v>
      </c>
      <c r="O10" s="7">
        <v>4.415491217004807E-4</v>
      </c>
      <c r="P10" s="7">
        <v>1.1231229807605954E-4</v>
      </c>
    </row>
    <row r="11" spans="1:16" x14ac:dyDescent="0.2">
      <c r="A11" s="6" t="s">
        <v>10</v>
      </c>
      <c r="B11" s="7">
        <v>3.6999999999999998E-2</v>
      </c>
      <c r="C11" s="1"/>
      <c r="D11" s="8">
        <v>0</v>
      </c>
      <c r="E11" s="8">
        <v>0.75</v>
      </c>
      <c r="F11" s="9"/>
      <c r="G11" s="7">
        <v>7.7393481695183421E-3</v>
      </c>
      <c r="H11" s="7">
        <v>1.2972480168664976E-2</v>
      </c>
      <c r="I11" s="7">
        <v>1.0005774002967168E-2</v>
      </c>
      <c r="J11" s="7">
        <v>9.0188891857185607E-3</v>
      </c>
      <c r="K11" s="7">
        <v>8.9537577690349136E-3</v>
      </c>
      <c r="L11" s="7">
        <v>2.0076625254481098E-3</v>
      </c>
      <c r="M11" s="7">
        <v>1.5656889614950771E-2</v>
      </c>
      <c r="N11" s="7">
        <v>5.5226514761671525E-3</v>
      </c>
      <c r="O11" s="7">
        <v>3.2482142519896871E-3</v>
      </c>
      <c r="P11" s="7">
        <v>5.2006443634937897E-3</v>
      </c>
    </row>
    <row r="12" spans="1:16" x14ac:dyDescent="0.2">
      <c r="A12" s="6" t="s">
        <v>11</v>
      </c>
      <c r="B12" s="7">
        <v>5.6000000000000001E-2</v>
      </c>
      <c r="C12" s="1"/>
      <c r="D12" s="8">
        <v>0</v>
      </c>
      <c r="E12" s="8">
        <v>0.75</v>
      </c>
      <c r="F12" s="9"/>
      <c r="G12" s="7">
        <v>3.2318255533484962E-3</v>
      </c>
      <c r="H12" s="7">
        <v>5.3755432227674382E-3</v>
      </c>
      <c r="I12" s="7">
        <v>1.4087947569021593E-3</v>
      </c>
      <c r="J12" s="7">
        <v>2.8950528851288057E-3</v>
      </c>
      <c r="K12" s="7">
        <v>2.8906098517211356E-3</v>
      </c>
      <c r="L12" s="7">
        <v>1.3504251725752968E-4</v>
      </c>
      <c r="M12" s="7">
        <v>5.5226514761671525E-3</v>
      </c>
      <c r="N12" s="7">
        <v>6.3017503407905434E-3</v>
      </c>
      <c r="O12" s="7">
        <v>2.1725844010538698E-3</v>
      </c>
      <c r="P12" s="7">
        <v>5.6932037341784272E-3</v>
      </c>
    </row>
    <row r="13" spans="1:16" x14ac:dyDescent="0.2">
      <c r="A13" s="6" t="s">
        <v>12</v>
      </c>
      <c r="B13" s="7">
        <v>6.3E-2</v>
      </c>
      <c r="C13" s="1"/>
      <c r="D13" s="8">
        <v>0</v>
      </c>
      <c r="E13" s="8">
        <v>0.25</v>
      </c>
      <c r="F13" s="9"/>
      <c r="G13" s="7">
        <v>2.191689500106456E-3</v>
      </c>
      <c r="H13" s="7">
        <v>3.4401104916202472E-3</v>
      </c>
      <c r="I13" s="7">
        <v>1.782547098866711E-3</v>
      </c>
      <c r="J13" s="7">
        <v>2.1668925660407799E-3</v>
      </c>
      <c r="K13" s="7">
        <v>2.0984351835694388E-3</v>
      </c>
      <c r="L13" s="7">
        <v>4.415491217004807E-4</v>
      </c>
      <c r="M13" s="7">
        <v>3.2482142519896871E-3</v>
      </c>
      <c r="N13" s="7">
        <v>2.1725844010538698E-3</v>
      </c>
      <c r="O13" s="7">
        <v>2.0706453504405033E-3</v>
      </c>
      <c r="P13" s="7">
        <v>2.1213137679125344E-3</v>
      </c>
    </row>
    <row r="14" spans="1:16" x14ac:dyDescent="0.2">
      <c r="A14" s="6" t="s">
        <v>13</v>
      </c>
      <c r="B14" s="7">
        <v>0.14299999999999999</v>
      </c>
      <c r="C14" s="1"/>
      <c r="D14" s="8">
        <v>0</v>
      </c>
      <c r="E14" s="8">
        <v>0.75</v>
      </c>
      <c r="F14" s="9"/>
      <c r="G14" s="7">
        <v>3.1680119071684039E-3</v>
      </c>
      <c r="H14" s="7">
        <v>5.226879279866945E-3</v>
      </c>
      <c r="I14" s="7">
        <v>1.1275989139239574E-3</v>
      </c>
      <c r="J14" s="7">
        <v>2.6719368045720784E-3</v>
      </c>
      <c r="K14" s="7">
        <v>2.6594034888329462E-3</v>
      </c>
      <c r="L14" s="7">
        <v>1.1231229807605954E-4</v>
      </c>
      <c r="M14" s="7">
        <v>5.2006443634937897E-3</v>
      </c>
      <c r="N14" s="7">
        <v>5.6932037341784272E-3</v>
      </c>
      <c r="O14" s="7">
        <v>2.1213137679125344E-3</v>
      </c>
      <c r="P14" s="7">
        <v>5.2360018864175649E-3</v>
      </c>
    </row>
    <row r="15" spans="1:16" x14ac:dyDescent="0.2">
      <c r="A15" s="1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6" spans="1:16" x14ac:dyDescent="0.2">
      <c r="A16" s="10"/>
      <c r="B16" s="4" t="s">
        <v>14</v>
      </c>
      <c r="C16" s="4" t="s">
        <v>15</v>
      </c>
      <c r="D16" s="10" t="s">
        <v>16</v>
      </c>
      <c r="E16" s="4" t="s">
        <v>17</v>
      </c>
      <c r="F16" s="4" t="s">
        <v>18</v>
      </c>
      <c r="G16" s="9"/>
      <c r="H16" s="9"/>
      <c r="I16" s="9"/>
      <c r="J16" s="9"/>
      <c r="K16" s="9"/>
      <c r="L16" s="9"/>
      <c r="M16" s="9"/>
      <c r="N16" s="9"/>
      <c r="O16" s="9"/>
      <c r="P16" s="9"/>
    </row>
    <row r="17" spans="1:16" x14ac:dyDescent="0.2">
      <c r="A17" s="5" t="s">
        <v>19</v>
      </c>
      <c r="B17" s="5"/>
      <c r="C17" s="5"/>
      <c r="D17" s="5"/>
      <c r="E17" s="5"/>
      <c r="F17" s="5"/>
      <c r="G17" s="9"/>
      <c r="H17" s="9"/>
      <c r="I17" s="9"/>
      <c r="J17" s="9"/>
      <c r="K17" s="9"/>
      <c r="L17" s="9"/>
      <c r="M17" s="9"/>
      <c r="N17" s="9"/>
      <c r="O17" s="9"/>
      <c r="P17" s="9"/>
    </row>
    <row r="18" spans="1:16" x14ac:dyDescent="0.2">
      <c r="A18" s="11" t="s">
        <v>4</v>
      </c>
      <c r="B18">
        <v>1</v>
      </c>
      <c r="C18">
        <v>1</v>
      </c>
      <c r="D18">
        <v>0</v>
      </c>
      <c r="E18">
        <v>1</v>
      </c>
      <c r="F18">
        <v>0</v>
      </c>
      <c r="G18" s="12"/>
      <c r="H18" s="12"/>
      <c r="I18" s="12"/>
      <c r="J18" s="12"/>
      <c r="K18" s="12"/>
      <c r="L18" s="12"/>
      <c r="M18" s="9"/>
      <c r="N18" s="9"/>
      <c r="O18" s="9"/>
      <c r="P18" s="9"/>
    </row>
    <row r="19" spans="1:16" x14ac:dyDescent="0.2">
      <c r="A19" s="11" t="s">
        <v>5</v>
      </c>
      <c r="B19">
        <v>1</v>
      </c>
      <c r="C19">
        <v>0</v>
      </c>
      <c r="D19">
        <v>0</v>
      </c>
      <c r="E19">
        <v>0</v>
      </c>
      <c r="F19">
        <v>0</v>
      </c>
      <c r="G19" s="12"/>
      <c r="H19" s="12"/>
      <c r="I19" s="12"/>
      <c r="J19" s="12"/>
      <c r="K19" s="12"/>
      <c r="L19" s="12"/>
      <c r="M19" s="9"/>
      <c r="N19" s="9"/>
      <c r="O19" s="9"/>
      <c r="P19" s="9"/>
    </row>
    <row r="20" spans="1:16" x14ac:dyDescent="0.2">
      <c r="A20" s="11" t="s">
        <v>6</v>
      </c>
      <c r="B20">
        <v>1</v>
      </c>
      <c r="C20">
        <v>0</v>
      </c>
      <c r="D20">
        <v>0</v>
      </c>
      <c r="E20">
        <v>1</v>
      </c>
      <c r="F20">
        <v>0</v>
      </c>
      <c r="G20" s="12"/>
      <c r="H20" s="12"/>
      <c r="I20" s="12"/>
      <c r="J20" s="12"/>
      <c r="K20" s="12"/>
      <c r="L20" s="12"/>
      <c r="M20" s="9"/>
      <c r="N20" s="9"/>
      <c r="O20" s="9"/>
      <c r="P20" s="9"/>
    </row>
    <row r="21" spans="1:16" x14ac:dyDescent="0.2">
      <c r="A21" s="11" t="s">
        <v>7</v>
      </c>
      <c r="B21">
        <v>1</v>
      </c>
      <c r="C21">
        <v>0</v>
      </c>
      <c r="D21">
        <v>0</v>
      </c>
      <c r="E21">
        <v>0</v>
      </c>
      <c r="F21">
        <v>0</v>
      </c>
      <c r="G21" s="12"/>
      <c r="H21" s="12"/>
      <c r="I21" s="12"/>
      <c r="J21" s="12"/>
      <c r="K21" s="12"/>
      <c r="L21" s="12"/>
      <c r="M21" s="9"/>
      <c r="N21" s="9"/>
      <c r="O21" s="9"/>
      <c r="P21" s="9"/>
    </row>
    <row r="22" spans="1:16" x14ac:dyDescent="0.2">
      <c r="A22" s="11" t="s">
        <v>8</v>
      </c>
      <c r="B22">
        <v>1</v>
      </c>
      <c r="C22">
        <v>0</v>
      </c>
      <c r="D22">
        <v>1</v>
      </c>
      <c r="E22">
        <v>0</v>
      </c>
      <c r="F22"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</row>
    <row r="23" spans="1:16" x14ac:dyDescent="0.2">
      <c r="A23" s="11" t="s">
        <v>9</v>
      </c>
      <c r="B23">
        <v>1</v>
      </c>
      <c r="C23">
        <v>1</v>
      </c>
      <c r="D23">
        <v>0</v>
      </c>
      <c r="E23">
        <v>1</v>
      </c>
      <c r="F23">
        <v>1</v>
      </c>
      <c r="G23" s="9"/>
      <c r="H23" s="9"/>
      <c r="I23" s="9"/>
      <c r="J23" s="9"/>
      <c r="K23" s="9"/>
      <c r="L23" s="9"/>
      <c r="M23" s="9"/>
      <c r="N23" s="9"/>
      <c r="O23" s="9"/>
      <c r="P23" s="9"/>
    </row>
    <row r="24" spans="1:16" x14ac:dyDescent="0.2">
      <c r="A24" s="11" t="s">
        <v>10</v>
      </c>
      <c r="B24">
        <v>1</v>
      </c>
      <c r="C24">
        <v>0</v>
      </c>
      <c r="D24">
        <v>0</v>
      </c>
      <c r="E24">
        <v>0</v>
      </c>
      <c r="F24">
        <v>1</v>
      </c>
      <c r="G24" s="9"/>
      <c r="H24" s="9"/>
      <c r="I24" s="9"/>
      <c r="J24" s="9"/>
      <c r="K24" s="9"/>
      <c r="L24" s="9"/>
      <c r="M24" s="9"/>
      <c r="N24" s="9"/>
      <c r="O24" s="9"/>
      <c r="P24" s="9"/>
    </row>
    <row r="25" spans="1:16" x14ac:dyDescent="0.2">
      <c r="A25" s="11" t="s">
        <v>11</v>
      </c>
      <c r="B25">
        <v>1</v>
      </c>
      <c r="C25">
        <v>0</v>
      </c>
      <c r="D25">
        <v>0</v>
      </c>
      <c r="E25">
        <v>0</v>
      </c>
      <c r="F25">
        <v>1</v>
      </c>
      <c r="G25" s="9"/>
      <c r="H25" s="9"/>
      <c r="I25" s="9"/>
      <c r="J25" s="9"/>
      <c r="K25" s="9"/>
      <c r="L25" s="9"/>
      <c r="M25" s="9"/>
      <c r="N25" s="9"/>
      <c r="O25" s="9"/>
      <c r="P25" s="9"/>
    </row>
    <row r="26" spans="1:16" x14ac:dyDescent="0.2">
      <c r="A26" s="11" t="s">
        <v>12</v>
      </c>
      <c r="B26">
        <v>1</v>
      </c>
      <c r="C26">
        <v>0</v>
      </c>
      <c r="D26">
        <v>0</v>
      </c>
      <c r="E26">
        <v>1</v>
      </c>
      <c r="F26">
        <v>1</v>
      </c>
      <c r="G26" s="9"/>
      <c r="H26" s="9"/>
      <c r="I26" s="9"/>
      <c r="J26" s="9"/>
      <c r="K26" s="9"/>
      <c r="L26" s="9"/>
      <c r="M26" s="9"/>
      <c r="N26" s="9"/>
      <c r="O26" s="9"/>
      <c r="P26" s="9"/>
    </row>
    <row r="27" spans="1:16" x14ac:dyDescent="0.2">
      <c r="A27" s="11" t="s">
        <v>13</v>
      </c>
      <c r="B27">
        <v>1</v>
      </c>
      <c r="C27">
        <v>0</v>
      </c>
      <c r="D27">
        <v>0</v>
      </c>
      <c r="E27">
        <v>0</v>
      </c>
      <c r="F27">
        <v>1</v>
      </c>
      <c r="G27" s="9"/>
      <c r="H27" s="9"/>
      <c r="I27" s="9"/>
      <c r="J27" s="9"/>
      <c r="K27" s="9"/>
      <c r="L27" s="9"/>
      <c r="M27" s="9"/>
      <c r="N27" s="9"/>
      <c r="O27" s="9"/>
      <c r="P27" s="9"/>
    </row>
    <row r="28" spans="1:16" x14ac:dyDescent="0.2">
      <c r="A28" s="11"/>
      <c r="B28" s="12"/>
      <c r="C28" s="12"/>
      <c r="D28" s="12"/>
      <c r="E28" s="12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</row>
    <row r="29" spans="1:16" x14ac:dyDescent="0.2">
      <c r="A29" s="1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</row>
    <row r="30" spans="1:16" x14ac:dyDescent="0.2">
      <c r="A30" s="5" t="s">
        <v>20</v>
      </c>
      <c r="B30" s="5"/>
      <c r="C30" s="5"/>
      <c r="D30" s="5"/>
      <c r="E30" s="5"/>
      <c r="F30" s="5"/>
      <c r="G30" s="9"/>
      <c r="H30" s="9"/>
      <c r="I30" s="9"/>
      <c r="J30" s="9"/>
      <c r="K30" s="9"/>
      <c r="L30" s="9"/>
      <c r="M30" s="9"/>
      <c r="N30" s="9"/>
      <c r="O30" s="9"/>
      <c r="P30" s="9"/>
    </row>
    <row r="31" spans="1:16" x14ac:dyDescent="0.2">
      <c r="A31" s="10" t="s">
        <v>21</v>
      </c>
      <c r="B31">
        <v>1</v>
      </c>
      <c r="C31" s="13">
        <v>0</v>
      </c>
      <c r="D31" s="13">
        <v>0</v>
      </c>
      <c r="E31" s="13">
        <v>0</v>
      </c>
      <c r="F31" s="13"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1:16" x14ac:dyDescent="0.2">
      <c r="A32" s="10" t="s">
        <v>22</v>
      </c>
      <c r="B32">
        <v>1</v>
      </c>
      <c r="C32" s="14">
        <v>0.75</v>
      </c>
      <c r="D32" s="14">
        <v>0.1</v>
      </c>
      <c r="E32" s="14">
        <v>0.9</v>
      </c>
      <c r="F32" s="14">
        <v>0.4</v>
      </c>
      <c r="G32" s="9"/>
      <c r="H32" s="9"/>
      <c r="I32" s="9"/>
      <c r="J32" s="9"/>
      <c r="K32" s="9"/>
      <c r="L32" s="9"/>
      <c r="M32" s="9"/>
      <c r="N32" s="9"/>
      <c r="O32" s="9"/>
      <c r="P32" s="27" t="s">
        <v>40</v>
      </c>
    </row>
    <row r="33" spans="1:20" x14ac:dyDescent="0.2">
      <c r="E33" t="s">
        <v>28</v>
      </c>
      <c r="P33" s="28" t="s">
        <v>42</v>
      </c>
      <c r="Q33" s="28" t="s">
        <v>43</v>
      </c>
      <c r="R33" s="28" t="s">
        <v>44</v>
      </c>
      <c r="S33" s="28" t="s">
        <v>46</v>
      </c>
    </row>
    <row r="34" spans="1:20" ht="13.5" thickBot="1" x14ac:dyDescent="0.25">
      <c r="B34" t="s">
        <v>26</v>
      </c>
      <c r="C34" t="s">
        <v>27</v>
      </c>
      <c r="E34" t="s">
        <v>29</v>
      </c>
      <c r="F34" t="s">
        <v>30</v>
      </c>
      <c r="G34" t="s">
        <v>31</v>
      </c>
      <c r="H34" t="s">
        <v>32</v>
      </c>
      <c r="I34" t="s">
        <v>33</v>
      </c>
      <c r="J34" t="s">
        <v>34</v>
      </c>
      <c r="K34" t="s">
        <v>35</v>
      </c>
      <c r="L34" t="s">
        <v>36</v>
      </c>
      <c r="M34" t="s">
        <v>37</v>
      </c>
      <c r="N34" t="s">
        <v>38</v>
      </c>
      <c r="P34" s="28" t="s">
        <v>41</v>
      </c>
      <c r="Q34" s="28" t="s">
        <v>41</v>
      </c>
      <c r="R34" s="28" t="s">
        <v>45</v>
      </c>
      <c r="S34" s="28" t="s">
        <v>45</v>
      </c>
      <c r="T34" s="28" t="s">
        <v>47</v>
      </c>
    </row>
    <row r="35" spans="1:20" ht="13.5" thickBot="1" x14ac:dyDescent="0.25">
      <c r="A35" t="s">
        <v>24</v>
      </c>
      <c r="B35" s="15">
        <f t="array" ref="B35:C35">EfficientFrontier3($G$5:$P$14,$B$5:$B$14,$D$5:$D$14,$E$5:$E$14,$C$18:$F$27,$C$31:$F$31,$C$32:$F$32,"MAX_RETURN")</f>
        <v>8.1439021056559535E-2</v>
      </c>
      <c r="C35" s="16">
        <v>0.12859999999999999</v>
      </c>
      <c r="E35" s="15">
        <f t="array" ref="E35:N35">EfficientFrontier3($G$5:$P$14,$B$5:$B$14,$D$5:$D$14,$E$5:$E$14,$C$18:$F$27,$C$31:$F$31,$C$32:$F$32,"MAX_RETURN",TRUE)</f>
        <v>0.25</v>
      </c>
      <c r="F35" s="17">
        <v>0</v>
      </c>
      <c r="G35" s="17">
        <v>0.25</v>
      </c>
      <c r="H35" s="17">
        <v>0</v>
      </c>
      <c r="I35" s="17">
        <v>0.10000000000000009</v>
      </c>
      <c r="J35" s="17">
        <v>0</v>
      </c>
      <c r="K35" s="17">
        <v>0</v>
      </c>
      <c r="L35" s="17">
        <v>0</v>
      </c>
      <c r="M35" s="17">
        <v>0</v>
      </c>
      <c r="N35" s="16">
        <v>0.39999999999999991</v>
      </c>
      <c r="P35" s="27">
        <f t="array" ref="P35">SQRT(MMULT($E35:$N35,MMULT($G$5:$P$14,TRANSPOSE($E35:$N35))))-B35</f>
        <v>0</v>
      </c>
      <c r="Q35" s="27">
        <f>MMULT($E35:$N35,$B$5:$B$14)-C35</f>
        <v>0</v>
      </c>
      <c r="R35" s="27">
        <f t="array" ref="R35">SUM(IF($E35:$N35&lt;TRANSPOSE($D$5:$D$14),1,"-"))+SUM(IF($E35:$N35&gt;TRANSPOSE($E$5:$E$14),1,"-"))</f>
        <v>0</v>
      </c>
      <c r="S35" s="27">
        <f t="array" ref="S35">SUM(IF(MMULT($E35:$N35,$C$18:$F$27)&lt;$C$31:$F$31,1,"-"))+SUM(IF(MMULT($E35:$N35,$C$18:$F$27)&gt;$C$32:$F$32,1,"-"))</f>
        <v>0</v>
      </c>
      <c r="T35" s="27">
        <f>SUM(E35:N35)</f>
        <v>1</v>
      </c>
    </row>
    <row r="36" spans="1:20" ht="13.5" thickBot="1" x14ac:dyDescent="0.25">
      <c r="A36" t="s">
        <v>23</v>
      </c>
      <c r="B36" s="15">
        <f t="array" ref="B36:C36">EfficientFrontier3($G$5:$P$14,$B$5:$B$14,$D$5:$D$14,$E$5:$E$14,$C$18:$F$27,$C$31:$F$31,$C$32:$F$32,"MIN_RISK")</f>
        <v>7.408059786977117E-2</v>
      </c>
      <c r="C36" s="16">
        <v>9.0142706737275105E-2</v>
      </c>
      <c r="E36" s="15">
        <f t="array" ref="E36:N36">EfficientFrontier3($G$5:$P$14,$B$5:$B$14,$D$5:$D$14,$E$5:$E$14,$C$18:$F$27,$C$31:$F$31,$C$32:$F$32,"MIN_RISK",TRUE)</f>
        <v>0.20492583482582705</v>
      </c>
      <c r="F36" s="17">
        <v>6.144546094497127E-8</v>
      </c>
      <c r="G36" s="17">
        <v>9.1714443686016526E-8</v>
      </c>
      <c r="H36" s="17">
        <v>0.29507512102296668</v>
      </c>
      <c r="I36" s="17">
        <v>9.9998898703773723E-2</v>
      </c>
      <c r="J36" s="17">
        <v>0.163271595445103</v>
      </c>
      <c r="K36" s="17">
        <v>1.0609816735027284E-8</v>
      </c>
      <c r="L36" s="17">
        <v>9.048221529744519E-8</v>
      </c>
      <c r="M36" s="17">
        <v>0.23672817859825876</v>
      </c>
      <c r="N36" s="16">
        <v>1.1715213399597094E-7</v>
      </c>
      <c r="P36" s="27">
        <f t="array" ref="P36">SQRT(MMULT($E36:$N36,MMULT($G$5:$P$14,TRANSPOSE($E36:$N36))))-B36</f>
        <v>0</v>
      </c>
      <c r="Q36" s="27">
        <f t="shared" ref="Q36:Q99" si="0">MMULT($E36:$N36,$B$5:$B$14)-C36</f>
        <v>0</v>
      </c>
      <c r="R36" s="27">
        <f t="array" ref="R36">SUM(IF($E36:$N36&lt;TRANSPOSE($D$5:$D$14),1,"-"))+SUM(IF($E36:$N36&gt;TRANSPOSE($E$5:$E$14),1,"-"))</f>
        <v>0</v>
      </c>
      <c r="S36" s="27">
        <f t="array" ref="S36">SUM(IF(MMULT($E36:$N36,$C$18:$F$27)&lt;$C$31:$F$31,1,"-"))+SUM(IF(MMULT($E36:$N36,$C$18:$F$27)&gt;$C$32:$F$32,1,"-"))</f>
        <v>0</v>
      </c>
      <c r="T36" s="27">
        <f t="shared" ref="T36:T99" si="1">SUM(E36:N36)</f>
        <v>0.99999999999999978</v>
      </c>
    </row>
    <row r="37" spans="1:20" ht="13.5" thickBot="1" x14ac:dyDescent="0.25">
      <c r="A37" t="s">
        <v>39</v>
      </c>
      <c r="B37" s="29">
        <f>EfficientFrontier3($G$5:$P$14,$B$5:$B$14,$D$5:$D$14,$E$5:$E$14,$C$18:$F$27,$C$31:$F$31,$C$32:$F$32,"TGT_RETURN",,,$C$37)</f>
        <v>7.6499567999107218E-2</v>
      </c>
      <c r="C37" s="30">
        <v>0.12</v>
      </c>
      <c r="E37" s="15">
        <f t="array" ref="E37:N37">EfficientFrontier3($G$5:$P$14,$B$5:$B$14,$D$5:$D$14,$E$5:$E$14,$C$18:$F$27,$C$31:$F$31,$C$32:$F$32,"TGT_RETURN",TRUE,,$C$37)</f>
        <v>0.33215014525162972</v>
      </c>
      <c r="F37" s="17">
        <v>2.0354395201812464E-8</v>
      </c>
      <c r="G37" s="17">
        <v>0.11137746474804755</v>
      </c>
      <c r="H37" s="17">
        <v>5.6472405315019229E-2</v>
      </c>
      <c r="I37" s="17">
        <v>9.9999965991926829E-2</v>
      </c>
      <c r="J37" s="17">
        <v>0.32157679532648564</v>
      </c>
      <c r="K37" s="17">
        <v>2.0568273821195706E-9</v>
      </c>
      <c r="L37" s="17">
        <v>8.1744792823888515E-9</v>
      </c>
      <c r="M37" s="17">
        <v>1.6196914226929174E-8</v>
      </c>
      <c r="N37" s="16">
        <v>7.8423176584275014E-2</v>
      </c>
      <c r="P37" s="27">
        <f t="array" ref="P37">SQRT(MMULT($E37:$N37,MMULT($G$5:$P$14,TRANSPOSE($E37:$N37))))-B37</f>
        <v>0</v>
      </c>
      <c r="Q37" s="27">
        <f t="shared" si="0"/>
        <v>0</v>
      </c>
      <c r="R37" s="27">
        <f t="array" ref="R37">SUM(IF($E37:$N37&lt;TRANSPOSE($D$5:$D$14),1,"-"))+SUM(IF($E37:$N37&gt;TRANSPOSE($E$5:$E$14),1,"-"))</f>
        <v>0</v>
      </c>
      <c r="S37" s="27">
        <f t="array" ref="S37">SUM(IF(MMULT($E37:$N37,$C$18:$F$27)&lt;$C$31:$F$31,1,"-"))+SUM(IF(MMULT($E37:$N37,$C$18:$F$27)&gt;$C$32:$F$32,1,"-"))</f>
        <v>0</v>
      </c>
      <c r="T37" s="27">
        <f t="shared" si="1"/>
        <v>1.0000000000000002</v>
      </c>
    </row>
    <row r="38" spans="1:20" x14ac:dyDescent="0.2">
      <c r="A38" t="s">
        <v>25</v>
      </c>
      <c r="B38" s="18">
        <f t="array" ref="B38:C138">EfficientFrontier3($G$5:$P$14,$B$5:$B$14,$D$5:$D$14,$E$5:$E$14,$C$18:$F$27,$C$31:$F$31,$C$32:$F$32,"CURVE")</f>
        <v>7.408059874529424E-2</v>
      </c>
      <c r="C38" s="19">
        <v>9.0142706737275119E-2</v>
      </c>
      <c r="E38" s="18">
        <f t="array" ref="E38:N138">EfficientFrontier3($G$5:$P$14,$B$5:$B$14,$D$5:$D$14,$E$5:$E$14,$C$18:$F$27,$C$31:$F$31,$C$32:$F$32,"CURVE",TRUE)</f>
        <v>0.20492581132474577</v>
      </c>
      <c r="F38" s="24">
        <v>8.0516734293423999E-8</v>
      </c>
      <c r="G38" s="24">
        <v>1.2692077051710545E-7</v>
      </c>
      <c r="H38" s="24">
        <v>0.29507485684378459</v>
      </c>
      <c r="I38" s="24">
        <v>9.9999134326901648E-2</v>
      </c>
      <c r="J38" s="24">
        <v>0.16327139758626633</v>
      </c>
      <c r="K38" s="24">
        <v>1.3630450868327412E-8</v>
      </c>
      <c r="L38" s="24">
        <v>1.1100795190429709E-7</v>
      </c>
      <c r="M38" s="24">
        <v>0.23672830426955879</v>
      </c>
      <c r="N38" s="19">
        <v>1.6357283542236209E-7</v>
      </c>
      <c r="P38" s="27">
        <f t="array" ref="P38">SQRT(MMULT($E38:$N38,MMULT($G$5:$P$14,TRANSPOSE($E38:$N38))))-B38</f>
        <v>0</v>
      </c>
      <c r="Q38" s="27">
        <f t="shared" si="0"/>
        <v>0</v>
      </c>
      <c r="R38" s="27">
        <f t="array" ref="R38">SUM(IF($E38:$N38&lt;TRANSPOSE($D$5:$D$14),1,"-"))+SUM(IF($E38:$N38&gt;TRANSPOSE($E$5:$E$14),1,"-"))</f>
        <v>0</v>
      </c>
      <c r="S38" s="27">
        <f t="array" ref="S38">SUM(IF(MMULT($E38:$N38,$C$18:$F$27)&lt;$C$31:$F$31,1,"-"))+SUM(IF(MMULT($E38:$N38,$C$18:$F$27)&gt;$C$32:$F$32,1,"-"))</f>
        <v>0</v>
      </c>
      <c r="T38" s="27">
        <f t="shared" si="1"/>
        <v>1.0000000000000002</v>
      </c>
    </row>
    <row r="39" spans="1:20" x14ac:dyDescent="0.2">
      <c r="B39" s="20">
        <v>7.4080681142787166E-2</v>
      </c>
      <c r="C39" s="21">
        <v>9.0334993203588732E-2</v>
      </c>
      <c r="E39" s="20">
        <v>0.2056097689097395</v>
      </c>
      <c r="F39" s="25">
        <v>8.1365347439638994E-8</v>
      </c>
      <c r="G39" s="25">
        <v>1.2604394247750833E-7</v>
      </c>
      <c r="H39" s="25">
        <v>0.2943909950651315</v>
      </c>
      <c r="I39" s="25">
        <v>9.9999038589301509E-2</v>
      </c>
      <c r="J39" s="25">
        <v>0.16558111532777134</v>
      </c>
      <c r="K39" s="25">
        <v>1.3710830325219175E-8</v>
      </c>
      <c r="L39" s="25">
        <v>1.1417956624220077E-7</v>
      </c>
      <c r="M39" s="25">
        <v>0.23441857927041104</v>
      </c>
      <c r="N39" s="21">
        <v>1.6753795860902818E-7</v>
      </c>
      <c r="P39" s="27">
        <f t="array" ref="P39">SQRT(MMULT($E39:$N39,MMULT($G$5:$P$14,TRANSPOSE($E39:$N39))))-B39</f>
        <v>0</v>
      </c>
      <c r="Q39" s="27">
        <f t="shared" si="0"/>
        <v>0</v>
      </c>
      <c r="R39" s="27">
        <f t="array" ref="R39">SUM(IF($E39:$N39&lt;TRANSPOSE($D$5:$D$14),1,"-"))+SUM(IF($E39:$N39&gt;TRANSPOSE($E$5:$E$14),1,"-"))</f>
        <v>0</v>
      </c>
      <c r="S39" s="27">
        <f t="array" ref="S39">SUM(IF(MMULT($E39:$N39,$C$18:$F$27)&lt;$C$31:$F$31,1,"-"))+SUM(IF(MMULT($E39:$N39,$C$18:$F$27)&gt;$C$32:$F$32,1,"-"))</f>
        <v>0</v>
      </c>
      <c r="T39" s="27">
        <f t="shared" si="1"/>
        <v>1</v>
      </c>
    </row>
    <row r="40" spans="1:20" x14ac:dyDescent="0.2">
      <c r="B40" s="20">
        <v>7.4080927932888674E-2</v>
      </c>
      <c r="C40" s="21">
        <v>9.0527279669902344E-2</v>
      </c>
      <c r="E40" s="20">
        <v>0.20629348060294286</v>
      </c>
      <c r="F40" s="25">
        <v>9.3051267296294408E-8</v>
      </c>
      <c r="G40" s="25">
        <v>1.6605133619636604E-7</v>
      </c>
      <c r="H40" s="25">
        <v>0.29370722176567537</v>
      </c>
      <c r="I40" s="25">
        <v>9.9999049946416868E-2</v>
      </c>
      <c r="J40" s="25">
        <v>0.16789083708811453</v>
      </c>
      <c r="K40" s="25">
        <v>1.5561151764139949E-8</v>
      </c>
      <c r="L40" s="25">
        <v>1.152098719910979E-7</v>
      </c>
      <c r="M40" s="25">
        <v>0.23210882221994514</v>
      </c>
      <c r="N40" s="21">
        <v>1.98503277961887E-7</v>
      </c>
      <c r="P40" s="27">
        <f t="array" ref="P40">SQRT(MMULT($E40:$N40,MMULT($G$5:$P$14,TRANSPOSE($E40:$N40))))-B40</f>
        <v>0</v>
      </c>
      <c r="Q40" s="27">
        <f t="shared" si="0"/>
        <v>0</v>
      </c>
      <c r="R40" s="27">
        <f t="array" ref="R40">SUM(IF($E40:$N40&lt;TRANSPOSE($D$5:$D$14),1,"-"))+SUM(IF($E40:$N40&gt;TRANSPOSE($E$5:$E$14),1,"-"))</f>
        <v>0</v>
      </c>
      <c r="S40" s="27">
        <f t="array" ref="S40">SUM(IF(MMULT($E40:$N40,$C$18:$F$27)&lt;$C$31:$F$31,1,"-"))+SUM(IF(MMULT($E40:$N40,$C$18:$F$27)&gt;$C$32:$F$32,1,"-"))</f>
        <v>0</v>
      </c>
      <c r="T40" s="27">
        <f t="shared" si="1"/>
        <v>1</v>
      </c>
    </row>
    <row r="41" spans="1:20" x14ac:dyDescent="0.2">
      <c r="B41" s="20">
        <v>7.4081337769370093E-2</v>
      </c>
      <c r="C41" s="21">
        <v>9.0719566136215984E-2</v>
      </c>
      <c r="E41" s="20">
        <v>0.20697744168519722</v>
      </c>
      <c r="F41" s="25">
        <v>9.1383664282522815E-8</v>
      </c>
      <c r="G41" s="25">
        <v>1.5599262116715455E-7</v>
      </c>
      <c r="H41" s="25">
        <v>0.29302337837317527</v>
      </c>
      <c r="I41" s="25">
        <v>9.9998943692781547E-2</v>
      </c>
      <c r="J41" s="25">
        <v>0.17020057287017809</v>
      </c>
      <c r="K41" s="25">
        <v>1.5226596545512682E-8</v>
      </c>
      <c r="L41" s="25">
        <v>1.188763959531603E-7</v>
      </c>
      <c r="M41" s="25">
        <v>0.22979908475107672</v>
      </c>
      <c r="N41" s="21">
        <v>1.9714831310381149E-7</v>
      </c>
      <c r="P41" s="27">
        <f t="array" ref="P41">SQRT(MMULT($E41:$N41,MMULT($G$5:$P$14,TRANSPOSE($E41:$N41))))-B41</f>
        <v>0</v>
      </c>
      <c r="Q41" s="27">
        <f t="shared" si="0"/>
        <v>0</v>
      </c>
      <c r="R41" s="27">
        <f t="array" ref="R41">SUM(IF($E41:$N41&lt;TRANSPOSE($D$5:$D$14),1,"-"))+SUM(IF($E41:$N41&gt;TRANSPOSE($E$5:$E$14),1,"-"))</f>
        <v>0</v>
      </c>
      <c r="S41" s="27">
        <f t="array" ref="S41">SUM(IF(MMULT($E41:$N41,$C$18:$F$27)&lt;$C$31:$F$31,1,"-"))+SUM(IF(MMULT($E41:$N41,$C$18:$F$27)&gt;$C$32:$F$32,1,"-"))</f>
        <v>0</v>
      </c>
      <c r="T41" s="27">
        <f t="shared" si="1"/>
        <v>0.99999999999999978</v>
      </c>
    </row>
    <row r="42" spans="1:20" x14ac:dyDescent="0.2">
      <c r="B42" s="20">
        <v>7.4081911378561835E-2</v>
      </c>
      <c r="C42" s="21">
        <v>9.0911852602529597E-2</v>
      </c>
      <c r="E42" s="20">
        <v>0.20766137032787127</v>
      </c>
      <c r="F42" s="25">
        <v>8.9600004599142187E-8</v>
      </c>
      <c r="G42" s="25">
        <v>1.4649774271063831E-7</v>
      </c>
      <c r="H42" s="25">
        <v>0.29233955383258525</v>
      </c>
      <c r="I42" s="25">
        <v>9.9998850574312986E-2</v>
      </c>
      <c r="J42" s="25">
        <v>0.17251031834712624</v>
      </c>
      <c r="K42" s="25">
        <v>1.4877494725147916E-8</v>
      </c>
      <c r="L42" s="25">
        <v>1.2171597793882159E-7</v>
      </c>
      <c r="M42" s="25">
        <v>0.22748933886831557</v>
      </c>
      <c r="N42" s="21">
        <v>1.9535856872389179E-7</v>
      </c>
      <c r="P42" s="27">
        <f t="array" ref="P42">SQRT(MMULT($E42:$N42,MMULT($G$5:$P$14,TRANSPOSE($E42:$N42))))-B42</f>
        <v>0</v>
      </c>
      <c r="Q42" s="27">
        <f t="shared" si="0"/>
        <v>0</v>
      </c>
      <c r="R42" s="27">
        <f t="array" ref="R42">SUM(IF($E42:$N42&lt;TRANSPOSE($D$5:$D$14),1,"-"))+SUM(IF($E42:$N42&gt;TRANSPOSE($E$5:$E$14),1,"-"))</f>
        <v>0</v>
      </c>
      <c r="S42" s="27">
        <f t="array" ref="S42">SUM(IF(MMULT($E42:$N42,$C$18:$F$27)&lt;$C$31:$F$31,1,"-"))+SUM(IF(MMULT($E42:$N42,$C$18:$F$27)&gt;$C$32:$F$32,1,"-"))</f>
        <v>0</v>
      </c>
      <c r="T42" s="27">
        <f t="shared" si="1"/>
        <v>1</v>
      </c>
    </row>
    <row r="43" spans="1:20" x14ac:dyDescent="0.2">
      <c r="B43" s="20">
        <v>7.4082648686858391E-2</v>
      </c>
      <c r="C43" s="21">
        <v>9.1104139068843223E-2</v>
      </c>
      <c r="E43" s="20">
        <v>0.20834525190775904</v>
      </c>
      <c r="F43" s="25">
        <v>8.8020478824413743E-8</v>
      </c>
      <c r="G43" s="25">
        <v>1.4067037638528889E-7</v>
      </c>
      <c r="H43" s="25">
        <v>0.29165569162420835</v>
      </c>
      <c r="I43" s="25">
        <v>9.9998838350261909E-2</v>
      </c>
      <c r="J43" s="25">
        <v>0.17482003908326324</v>
      </c>
      <c r="K43" s="25">
        <v>1.4551535193752203E-8</v>
      </c>
      <c r="L43" s="25">
        <v>1.2204599388990767E-7</v>
      </c>
      <c r="M43" s="25">
        <v>0.22517961922806878</v>
      </c>
      <c r="N43" s="21">
        <v>1.9451805444271101E-7</v>
      </c>
      <c r="P43" s="27">
        <f t="array" ref="P43">SQRT(MMULT($E43:$N43,MMULT($G$5:$P$14,TRANSPOSE($E43:$N43))))-B43</f>
        <v>0</v>
      </c>
      <c r="Q43" s="27">
        <f t="shared" si="0"/>
        <v>0</v>
      </c>
      <c r="R43" s="27">
        <f t="array" ref="R43">SUM(IF($E43:$N43&lt;TRANSPOSE($D$5:$D$14),1,"-"))+SUM(IF($E43:$N43&gt;TRANSPOSE($E$5:$E$14),1,"-"))</f>
        <v>0</v>
      </c>
      <c r="S43" s="27">
        <f t="array" ref="S43">SUM(IF(MMULT($E43:$N43,$C$18:$F$27)&lt;$C$31:$F$31,1,"-"))+SUM(IF(MMULT($E43:$N43,$C$18:$F$27)&gt;$C$32:$F$32,1,"-"))</f>
        <v>0</v>
      </c>
      <c r="T43" s="27">
        <f t="shared" si="1"/>
        <v>1.0000000000000002</v>
      </c>
    </row>
    <row r="44" spans="1:20" x14ac:dyDescent="0.2">
      <c r="B44" s="20">
        <v>7.4083549755084785E-2</v>
      </c>
      <c r="C44" s="21">
        <v>9.129642553515685E-2</v>
      </c>
      <c r="E44" s="20">
        <v>0.20902911702854321</v>
      </c>
      <c r="F44" s="25">
        <v>8.6512842871811597E-8</v>
      </c>
      <c r="G44" s="25">
        <v>1.3581958711916231E-7</v>
      </c>
      <c r="H44" s="25">
        <v>0.2909718257220662</v>
      </c>
      <c r="I44" s="25">
        <v>9.9998845245237306E-2</v>
      </c>
      <c r="J44" s="25">
        <v>0.17712975669276176</v>
      </c>
      <c r="K44" s="25">
        <v>1.4238313787057183E-8</v>
      </c>
      <c r="L44" s="25">
        <v>1.2171919206081449E-7</v>
      </c>
      <c r="M44" s="25">
        <v>0.22286990312609292</v>
      </c>
      <c r="N44" s="21">
        <v>1.9389536275433122E-7</v>
      </c>
      <c r="P44" s="27">
        <f t="array" ref="P44">SQRT(MMULT($E44:$N44,MMULT($G$5:$P$14,TRANSPOSE($E44:$N44))))-B44</f>
        <v>0</v>
      </c>
      <c r="Q44" s="27">
        <f t="shared" si="0"/>
        <v>0</v>
      </c>
      <c r="R44" s="27">
        <f t="array" ref="R44">SUM(IF($E44:$N44&lt;TRANSPOSE($D$5:$D$14),1,"-"))+SUM(IF($E44:$N44&gt;TRANSPOSE($E$5:$E$14),1,"-"))</f>
        <v>0</v>
      </c>
      <c r="S44" s="27">
        <f t="array" ref="S44">SUM(IF(MMULT($E44:$N44,$C$18:$F$27)&lt;$C$31:$F$31,1,"-"))+SUM(IF(MMULT($E44:$N44,$C$18:$F$27)&gt;$C$32:$F$32,1,"-"))</f>
        <v>0</v>
      </c>
      <c r="T44" s="27">
        <f t="shared" si="1"/>
        <v>0.99999999999999989</v>
      </c>
    </row>
    <row r="45" spans="1:20" x14ac:dyDescent="0.2">
      <c r="B45" s="20">
        <v>7.4084614585243333E-2</v>
      </c>
      <c r="C45" s="21">
        <v>9.1488712001470476E-2</v>
      </c>
      <c r="E45" s="20">
        <v>0.20971297137554742</v>
      </c>
      <c r="F45" s="25">
        <v>8.5079458817561439E-8</v>
      </c>
      <c r="G45" s="25">
        <v>1.3168718700644412E-7</v>
      </c>
      <c r="H45" s="25">
        <v>0.290287957799434</v>
      </c>
      <c r="I45" s="25">
        <v>9.9998864155546346E-2</v>
      </c>
      <c r="J45" s="25">
        <v>0.17943947239042421</v>
      </c>
      <c r="K45" s="25">
        <v>1.3938760413763736E-8</v>
      </c>
      <c r="L45" s="25">
        <v>1.2096770973998779E-7</v>
      </c>
      <c r="M45" s="25">
        <v>0.22056018912357717</v>
      </c>
      <c r="N45" s="21">
        <v>1.9348235475711921E-7</v>
      </c>
      <c r="P45" s="27">
        <f t="array" ref="P45">SQRT(MMULT($E45:$N45,MMULT($G$5:$P$14,TRANSPOSE($E45:$N45))))-B45</f>
        <v>0</v>
      </c>
      <c r="Q45" s="27">
        <f t="shared" si="0"/>
        <v>0</v>
      </c>
      <c r="R45" s="27">
        <f t="array" ref="R45">SUM(IF($E45:$N45&lt;TRANSPOSE($D$5:$D$14),1,"-"))+SUM(IF($E45:$N45&gt;TRANSPOSE($E$5:$E$14),1,"-"))</f>
        <v>0</v>
      </c>
      <c r="S45" s="27">
        <f t="array" ref="S45">SUM(IF(MMULT($E45:$N45,$C$18:$F$27)&lt;$C$31:$F$31,1,"-"))+SUM(IF(MMULT($E45:$N45,$C$18:$F$27)&gt;$C$32:$F$32,1,"-"))</f>
        <v>0</v>
      </c>
      <c r="T45" s="27">
        <f t="shared" si="1"/>
        <v>1</v>
      </c>
    </row>
    <row r="46" spans="1:20" x14ac:dyDescent="0.2">
      <c r="B46" s="20">
        <v>7.4085838213143143E-2</v>
      </c>
      <c r="C46" s="21">
        <v>9.1680998467784117E-2</v>
      </c>
      <c r="E46" s="20">
        <v>0.21039685961435284</v>
      </c>
      <c r="F46" s="25">
        <v>2.0996583449632348E-8</v>
      </c>
      <c r="G46" s="25">
        <v>2.9740046224275241E-8</v>
      </c>
      <c r="H46" s="25">
        <v>0.28960336133373732</v>
      </c>
      <c r="I46" s="25">
        <v>9.9999730788332311E-2</v>
      </c>
      <c r="J46" s="25">
        <v>0.18174893379875018</v>
      </c>
      <c r="K46" s="25">
        <v>3.4274736005300671E-9</v>
      </c>
      <c r="L46" s="25">
        <v>3.1165069564150598E-8</v>
      </c>
      <c r="M46" s="25">
        <v>0.21825098172361312</v>
      </c>
      <c r="N46" s="21">
        <v>4.7412041456837106E-8</v>
      </c>
      <c r="P46" s="27">
        <f t="array" ref="P46">SQRT(MMULT($E46:$N46,MMULT($G$5:$P$14,TRANSPOSE($E46:$N46))))-B46</f>
        <v>0</v>
      </c>
      <c r="Q46" s="27">
        <f t="shared" si="0"/>
        <v>0</v>
      </c>
      <c r="R46" s="27">
        <f t="array" ref="R46">SUM(IF($E46:$N46&lt;TRANSPOSE($D$5:$D$14),1,"-"))+SUM(IF($E46:$N46&gt;TRANSPOSE($E$5:$E$14),1,"-"))</f>
        <v>0</v>
      </c>
      <c r="S46" s="27">
        <f t="array" ref="S46">SUM(IF(MMULT($E46:$N46,$C$18:$F$27)&lt;$C$31:$F$31,1,"-"))+SUM(IF(MMULT($E46:$N46,$C$18:$F$27)&gt;$C$32:$F$32,1,"-"))</f>
        <v>0</v>
      </c>
      <c r="T46" s="27">
        <f t="shared" si="1"/>
        <v>1.0000000000000002</v>
      </c>
    </row>
    <row r="47" spans="1:20" x14ac:dyDescent="0.2">
      <c r="B47" s="20">
        <v>7.4087230624929654E-2</v>
      </c>
      <c r="C47" s="21">
        <v>9.1873284934097729E-2</v>
      </c>
      <c r="E47" s="20">
        <v>0.21108069067378107</v>
      </c>
      <c r="F47" s="25">
        <v>2.0542860544736099E-8</v>
      </c>
      <c r="G47" s="25">
        <v>2.9049943299627973E-8</v>
      </c>
      <c r="H47" s="25">
        <v>0.28891951973498609</v>
      </c>
      <c r="I47" s="25">
        <v>9.9999742407065273E-2</v>
      </c>
      <c r="J47" s="25">
        <v>0.18405866277322469</v>
      </c>
      <c r="K47" s="25">
        <v>3.3394834501704803E-9</v>
      </c>
      <c r="L47" s="25">
        <v>3.0443299544237888E-8</v>
      </c>
      <c r="M47" s="25">
        <v>0.21594125398563083</v>
      </c>
      <c r="N47" s="21">
        <v>4.7049725171968212E-8</v>
      </c>
      <c r="P47" s="27">
        <f t="array" ref="P47">SQRT(MMULT($E47:$N47,MMULT($G$5:$P$14,TRANSPOSE($E47:$N47))))-B47</f>
        <v>0</v>
      </c>
      <c r="Q47" s="27">
        <f t="shared" si="0"/>
        <v>0</v>
      </c>
      <c r="R47" s="27">
        <f t="array" ref="R47">SUM(IF($E47:$N47&lt;TRANSPOSE($D$5:$D$14),1,"-"))+SUM(IF($E47:$N47&gt;TRANSPOSE($E$5:$E$14),1,"-"))</f>
        <v>0</v>
      </c>
      <c r="S47" s="27">
        <f t="array" ref="S47">SUM(IF(MMULT($E47:$N47,$C$18:$F$27)&lt;$C$31:$F$31,1,"-"))+SUM(IF(MMULT($E47:$N47,$C$18:$F$27)&gt;$C$32:$F$32,1,"-"))</f>
        <v>0</v>
      </c>
      <c r="T47" s="27">
        <f t="shared" si="1"/>
        <v>1</v>
      </c>
    </row>
    <row r="48" spans="1:20" x14ac:dyDescent="0.2">
      <c r="B48" s="20">
        <v>7.4088786788147343E-2</v>
      </c>
      <c r="C48" s="21">
        <v>9.2065571400411383E-2</v>
      </c>
      <c r="E48" s="20">
        <v>0.21176452142561308</v>
      </c>
      <c r="F48" s="25">
        <v>2.0118752172175405E-8</v>
      </c>
      <c r="G48" s="25">
        <v>2.8413675796661047E-8</v>
      </c>
      <c r="H48" s="25">
        <v>0.28823567903570724</v>
      </c>
      <c r="I48" s="25">
        <v>9.9999753354463566E-2</v>
      </c>
      <c r="J48" s="25">
        <v>0.18636839216960374</v>
      </c>
      <c r="K48" s="25">
        <v>3.2568839840423861E-9</v>
      </c>
      <c r="L48" s="25">
        <v>2.9758890696777214E-8</v>
      </c>
      <c r="M48" s="25">
        <v>0.21363152571441069</v>
      </c>
      <c r="N48" s="21">
        <v>4.6751999039340621E-8</v>
      </c>
      <c r="P48" s="27">
        <f t="array" ref="P48">SQRT(MMULT($E48:$N48,MMULT($G$5:$P$14,TRANSPOSE($E48:$N48))))-B48</f>
        <v>0</v>
      </c>
      <c r="Q48" s="27">
        <f t="shared" si="0"/>
        <v>0</v>
      </c>
      <c r="R48" s="27">
        <f t="array" ref="R48">SUM(IF($E48:$N48&lt;TRANSPOSE($D$5:$D$14),1,"-"))+SUM(IF($E48:$N48&gt;TRANSPOSE($E$5:$E$14),1,"-"))</f>
        <v>0</v>
      </c>
      <c r="S48" s="27">
        <f t="array" ref="S48">SUM(IF(MMULT($E48:$N48,$C$18:$F$27)&lt;$C$31:$F$31,1,"-"))+SUM(IF(MMULT($E48:$N48,$C$18:$F$27)&gt;$C$32:$F$32,1,"-"))</f>
        <v>0</v>
      </c>
      <c r="T48" s="27">
        <f t="shared" si="1"/>
        <v>1</v>
      </c>
    </row>
    <row r="49" spans="2:20" x14ac:dyDescent="0.2">
      <c r="B49" s="20">
        <v>7.4090506692232244E-2</v>
      </c>
      <c r="C49" s="21">
        <v>9.2257857866724954E-2</v>
      </c>
      <c r="E49" s="20">
        <v>0.21244835194616607</v>
      </c>
      <c r="F49" s="25">
        <v>1.9720491989557244E-8</v>
      </c>
      <c r="G49" s="25">
        <v>2.7823026584056417E-8</v>
      </c>
      <c r="H49" s="25">
        <v>0.28755183912642546</v>
      </c>
      <c r="I49" s="25">
        <v>9.9999763675175449E-2</v>
      </c>
      <c r="J49" s="25">
        <v>0.18867812193659378</v>
      </c>
      <c r="K49" s="25">
        <v>3.1790188395088767E-9</v>
      </c>
      <c r="L49" s="25">
        <v>2.9108343809507798E-8</v>
      </c>
      <c r="M49" s="25">
        <v>0.21132179697229245</v>
      </c>
      <c r="N49" s="21">
        <v>4.6512465645095858E-8</v>
      </c>
      <c r="P49" s="27">
        <f t="array" ref="P49">SQRT(MMULT($E49:$N49,MMULT($G$5:$P$14,TRANSPOSE($E49:$N49))))-B49</f>
        <v>0</v>
      </c>
      <c r="Q49" s="27">
        <f t="shared" si="0"/>
        <v>0</v>
      </c>
      <c r="R49" s="27">
        <f t="array" ref="R49">SUM(IF($E49:$N49&lt;TRANSPOSE($D$5:$D$14),1,"-"))+SUM(IF($E49:$N49&gt;TRANSPOSE($E$5:$E$14),1,"-"))</f>
        <v>0</v>
      </c>
      <c r="S49" s="27">
        <f t="array" ref="S49">SUM(IF(MMULT($E49:$N49,$C$18:$F$27)&lt;$C$31:$F$31,1,"-"))+SUM(IF(MMULT($E49:$N49,$C$18:$F$27)&gt;$C$32:$F$32,1,"-"))</f>
        <v>0</v>
      </c>
      <c r="T49" s="27">
        <f t="shared" si="1"/>
        <v>1</v>
      </c>
    </row>
    <row r="50" spans="2:20" x14ac:dyDescent="0.2">
      <c r="B50" s="20">
        <v>7.4092399660960054E-2</v>
      </c>
      <c r="C50" s="21">
        <v>9.2450144333038595E-2</v>
      </c>
      <c r="E50" s="20">
        <v>0.21313210247452719</v>
      </c>
      <c r="F50" s="25">
        <v>1.3883389786680053E-7</v>
      </c>
      <c r="G50" s="25">
        <v>2.2128905460031795E-7</v>
      </c>
      <c r="H50" s="25">
        <v>0.28686919908008179</v>
      </c>
      <c r="I50" s="25">
        <v>9.9998354364824266E-2</v>
      </c>
      <c r="J50" s="25">
        <v>0.19098819863397479</v>
      </c>
      <c r="K50" s="25">
        <v>2.2187442018810121E-8</v>
      </c>
      <c r="L50" s="25">
        <v>1.948267168460735E-7</v>
      </c>
      <c r="M50" s="25">
        <v>0.20901121787073848</v>
      </c>
      <c r="N50" s="21">
        <v>3.5043874218085297E-7</v>
      </c>
      <c r="P50" s="27">
        <f t="array" ref="P50">SQRT(MMULT($E50:$N50,MMULT($G$5:$P$14,TRANSPOSE($E50:$N50))))-B50</f>
        <v>0</v>
      </c>
      <c r="Q50" s="27">
        <f t="shared" si="0"/>
        <v>0</v>
      </c>
      <c r="R50" s="27">
        <f t="array" ref="R50">SUM(IF($E50:$N50&lt;TRANSPOSE($D$5:$D$14),1,"-"))+SUM(IF($E50:$N50&gt;TRANSPOSE($E$5:$E$14),1,"-"))</f>
        <v>0</v>
      </c>
      <c r="S50" s="27">
        <f t="array" ref="S50">SUM(IF(MMULT($E50:$N50,$C$18:$F$27)&lt;$C$31:$F$31,1,"-"))+SUM(IF(MMULT($E50:$N50,$C$18:$F$27)&gt;$C$32:$F$32,1,"-"))</f>
        <v>0</v>
      </c>
      <c r="T50" s="27">
        <f t="shared" si="1"/>
        <v>1</v>
      </c>
    </row>
    <row r="51" spans="2:20" x14ac:dyDescent="0.2">
      <c r="B51" s="20">
        <v>7.409444688097315E-2</v>
      </c>
      <c r="C51" s="21">
        <v>9.2642430799352221E-2</v>
      </c>
      <c r="E51" s="20">
        <v>0.21381594892820779</v>
      </c>
      <c r="F51" s="25">
        <v>1.3665647529465908E-7</v>
      </c>
      <c r="G51" s="25">
        <v>2.1512859211738659E-7</v>
      </c>
      <c r="H51" s="25">
        <v>0.28618532726086127</v>
      </c>
      <c r="I51" s="25">
        <v>9.9998387718713222E-2</v>
      </c>
      <c r="J51" s="25">
        <v>0.19329791053230755</v>
      </c>
      <c r="K51" s="25">
        <v>2.1729819786871279E-8</v>
      </c>
      <c r="L51" s="25">
        <v>1.9326262204961734E-7</v>
      </c>
      <c r="M51" s="25">
        <v>0.20670150730597592</v>
      </c>
      <c r="N51" s="21">
        <v>3.5147642495720898E-7</v>
      </c>
      <c r="P51" s="27">
        <f t="array" ref="P51">SQRT(MMULT($E51:$N51,MMULT($G$5:$P$14,TRANSPOSE($E51:$N51))))-B51</f>
        <v>0</v>
      </c>
      <c r="Q51" s="27">
        <f t="shared" si="0"/>
        <v>0</v>
      </c>
      <c r="R51" s="27">
        <f t="array" ref="R51">SUM(IF($E51:$N51&lt;TRANSPOSE($D$5:$D$14),1,"-"))+SUM(IF($E51:$N51&gt;TRANSPOSE($E$5:$E$14),1,"-"))</f>
        <v>0</v>
      </c>
      <c r="S51" s="27">
        <f t="array" ref="S51">SUM(IF(MMULT($E51:$N51,$C$18:$F$27)&lt;$C$31:$F$31,1,"-"))+SUM(IF(MMULT($E51:$N51,$C$18:$F$27)&gt;$C$32:$F$32,1,"-"))</f>
        <v>0</v>
      </c>
      <c r="T51" s="27">
        <f t="shared" si="1"/>
        <v>1</v>
      </c>
    </row>
    <row r="52" spans="2:20" x14ac:dyDescent="0.2">
      <c r="B52" s="20">
        <v>7.4096647414365627E-2</v>
      </c>
      <c r="C52" s="21">
        <v>9.2834717265665848E-2</v>
      </c>
      <c r="E52" s="20">
        <v>0.21449984347286805</v>
      </c>
      <c r="F52" s="25">
        <v>1.32851981612619E-9</v>
      </c>
      <c r="G52" s="25">
        <v>1.8564464517302096E-9</v>
      </c>
      <c r="H52" s="25">
        <v>0.28550016832308084</v>
      </c>
      <c r="I52" s="25">
        <v>9.999998517139036E-2</v>
      </c>
      <c r="J52" s="25">
        <v>0.1956072701250923</v>
      </c>
      <c r="K52" s="25">
        <v>2.1154619429578231E-10</v>
      </c>
      <c r="L52" s="25">
        <v>1.9509367918293776E-9</v>
      </c>
      <c r="M52" s="25">
        <v>0.20439272429107896</v>
      </c>
      <c r="N52" s="21">
        <v>3.2690400147553145E-9</v>
      </c>
      <c r="P52" s="27">
        <f t="array" ref="P52">SQRT(MMULT($E52:$N52,MMULT($G$5:$P$14,TRANSPOSE($E52:$N52))))-B52</f>
        <v>0</v>
      </c>
      <c r="Q52" s="27">
        <f t="shared" si="0"/>
        <v>0</v>
      </c>
      <c r="R52" s="27">
        <f t="array" ref="R52">SUM(IF($E52:$N52&lt;TRANSPOSE($D$5:$D$14),1,"-"))+SUM(IF($E52:$N52&gt;TRANSPOSE($E$5:$E$14),1,"-"))</f>
        <v>0</v>
      </c>
      <c r="S52" s="27">
        <f t="array" ref="S52">SUM(IF(MMULT($E52:$N52,$C$18:$F$27)&lt;$C$31:$F$31,1,"-"))+SUM(IF(MMULT($E52:$N52,$C$18:$F$27)&gt;$C$32:$F$32,1,"-"))</f>
        <v>0</v>
      </c>
      <c r="T52" s="27">
        <f t="shared" si="1"/>
        <v>0.99999999999999989</v>
      </c>
    </row>
    <row r="53" spans="2:20" x14ac:dyDescent="0.2">
      <c r="B53" s="20">
        <v>7.4099022183634983E-2</v>
      </c>
      <c r="C53" s="21">
        <v>9.3027003731979474E-2</v>
      </c>
      <c r="E53" s="20">
        <v>0.21518367359416554</v>
      </c>
      <c r="F53" s="25">
        <v>1.3186160809020715E-9</v>
      </c>
      <c r="G53" s="25">
        <v>1.8432697493048098E-9</v>
      </c>
      <c r="H53" s="25">
        <v>0.28481633777034104</v>
      </c>
      <c r="I53" s="25">
        <v>9.9999985624104851E-2</v>
      </c>
      <c r="J53" s="25">
        <v>0.19791700487448405</v>
      </c>
      <c r="K53" s="25">
        <v>2.0908670171719325E-10</v>
      </c>
      <c r="L53" s="25">
        <v>1.930206671988684E-9</v>
      </c>
      <c r="M53" s="25">
        <v>0.20208298953854137</v>
      </c>
      <c r="N53" s="21">
        <v>3.2971840841515628E-9</v>
      </c>
      <c r="P53" s="27">
        <f t="array" ref="P53">SQRT(MMULT($E53:$N53,MMULT($G$5:$P$14,TRANSPOSE($E53:$N53))))-B53</f>
        <v>0</v>
      </c>
      <c r="Q53" s="27">
        <f t="shared" si="0"/>
        <v>0</v>
      </c>
      <c r="R53" s="27">
        <f t="array" ref="R53">SUM(IF($E53:$N53&lt;TRANSPOSE($D$5:$D$14),1,"-"))+SUM(IF($E53:$N53&gt;TRANSPOSE($E$5:$E$14),1,"-"))</f>
        <v>0</v>
      </c>
      <c r="S53" s="27">
        <f t="array" ref="S53">SUM(IF(MMULT($E53:$N53,$C$18:$F$27)&lt;$C$31:$F$31,1,"-"))+SUM(IF(MMULT($E53:$N53,$C$18:$F$27)&gt;$C$32:$F$32,1,"-"))</f>
        <v>0</v>
      </c>
      <c r="T53" s="27">
        <f t="shared" si="1"/>
        <v>1.0000000000000002</v>
      </c>
    </row>
    <row r="54" spans="2:20" x14ac:dyDescent="0.2">
      <c r="B54" s="20">
        <v>7.4101560623930404E-2</v>
      </c>
      <c r="C54" s="21">
        <v>9.3219290198293114E-2</v>
      </c>
      <c r="E54" s="20">
        <v>0.21586750371231134</v>
      </c>
      <c r="F54" s="25">
        <v>1.3081499486243596E-9</v>
      </c>
      <c r="G54" s="25">
        <v>1.8293090148564387E-9</v>
      </c>
      <c r="H54" s="25">
        <v>0.28413250723412176</v>
      </c>
      <c r="I54" s="25">
        <v>9.9999986064743654E-2</v>
      </c>
      <c r="J54" s="25">
        <v>0.20022673963291815</v>
      </c>
      <c r="K54" s="25">
        <v>2.0655236539573578E-10</v>
      </c>
      <c r="L54" s="25">
        <v>1.9087366222070854E-9</v>
      </c>
      <c r="M54" s="25">
        <v>0.1997732547779118</v>
      </c>
      <c r="N54" s="21">
        <v>3.3252453480205357E-9</v>
      </c>
      <c r="P54" s="27">
        <f t="array" ref="P54">SQRT(MMULT($E54:$N54,MMULT($G$5:$P$14,TRANSPOSE($E54:$N54))))-B54</f>
        <v>0</v>
      </c>
      <c r="Q54" s="27">
        <f t="shared" si="0"/>
        <v>0</v>
      </c>
      <c r="R54" s="27">
        <f t="array" ref="R54">SUM(IF($E54:$N54&lt;TRANSPOSE($D$5:$D$14),1,"-"))+SUM(IF($E54:$N54&gt;TRANSPOSE($E$5:$E$14),1,"-"))</f>
        <v>0</v>
      </c>
      <c r="S54" s="27">
        <f t="array" ref="S54">SUM(IF(MMULT($E54:$N54,$C$18:$F$27)&lt;$C$31:$F$31,1,"-"))+SUM(IF(MMULT($E54:$N54,$C$18:$F$27)&gt;$C$32:$F$32,1,"-"))</f>
        <v>0</v>
      </c>
      <c r="T54" s="27">
        <f t="shared" si="1"/>
        <v>0.99999999999999989</v>
      </c>
    </row>
    <row r="55" spans="2:20" x14ac:dyDescent="0.2">
      <c r="B55" s="20">
        <v>7.4104262718446903E-2</v>
      </c>
      <c r="C55" s="21">
        <v>9.3411576664606741E-2</v>
      </c>
      <c r="E55" s="20">
        <v>0.21655133382784186</v>
      </c>
      <c r="F55" s="25">
        <v>1.2973100517216548E-9</v>
      </c>
      <c r="G55" s="25">
        <v>1.8148263491765189E-9</v>
      </c>
      <c r="H55" s="25">
        <v>0.28344867671481971</v>
      </c>
      <c r="I55" s="25">
        <v>9.9999986491945608E-2</v>
      </c>
      <c r="J55" s="25">
        <v>0.20253647440012348</v>
      </c>
      <c r="K55" s="25">
        <v>2.0397394977939043E-10</v>
      </c>
      <c r="L55" s="25">
        <v>1.8868096736351081E-9</v>
      </c>
      <c r="M55" s="25">
        <v>0.19746352000862588</v>
      </c>
      <c r="N55" s="21">
        <v>3.3537234781329757E-9</v>
      </c>
      <c r="P55" s="27">
        <f t="array" ref="P55">SQRT(MMULT($E55:$N55,MMULT($G$5:$P$14,TRANSPOSE($E55:$N55))))-B55</f>
        <v>0</v>
      </c>
      <c r="Q55" s="27">
        <f t="shared" si="0"/>
        <v>0</v>
      </c>
      <c r="R55" s="27">
        <f t="array" ref="R55">SUM(IF($E55:$N55&lt;TRANSPOSE($D$5:$D$14),1,"-"))+SUM(IF($E55:$N55&gt;TRANSPOSE($E$5:$E$14),1,"-"))</f>
        <v>0</v>
      </c>
      <c r="S55" s="27">
        <f t="array" ref="S55">SUM(IF(MMULT($E55:$N55,$C$18:$F$27)&lt;$C$31:$F$31,1,"-"))+SUM(IF(MMULT($E55:$N55,$C$18:$F$27)&gt;$C$32:$F$32,1,"-"))</f>
        <v>0</v>
      </c>
      <c r="T55" s="27">
        <f t="shared" si="1"/>
        <v>1</v>
      </c>
    </row>
    <row r="56" spans="2:20" x14ac:dyDescent="0.2">
      <c r="B56" s="20">
        <v>7.4107128449293416E-2</v>
      </c>
      <c r="C56" s="21">
        <v>9.3603863130920353E-2</v>
      </c>
      <c r="E56" s="20">
        <v>0.21723516394117648</v>
      </c>
      <c r="F56" s="25">
        <v>1.2862319819322045E-9</v>
      </c>
      <c r="G56" s="25">
        <v>1.8000100908045691E-9</v>
      </c>
      <c r="H56" s="25">
        <v>0.28276484621239822</v>
      </c>
      <c r="I56" s="25">
        <v>9.9999986905019642E-2</v>
      </c>
      <c r="J56" s="25">
        <v>0.20484620917568844</v>
      </c>
      <c r="K56" s="25">
        <v>2.0137341012556725E-10</v>
      </c>
      <c r="L56" s="25">
        <v>1.8646283932917053E-9</v>
      </c>
      <c r="M56" s="25">
        <v>0.19515378523045962</v>
      </c>
      <c r="N56" s="21">
        <v>3.3830136392727233E-9</v>
      </c>
      <c r="P56" s="27">
        <f t="array" ref="P56">SQRT(MMULT($E56:$N56,MMULT($G$5:$P$14,TRANSPOSE($E56:$N56))))-B56</f>
        <v>0</v>
      </c>
      <c r="Q56" s="27">
        <f t="shared" si="0"/>
        <v>0</v>
      </c>
      <c r="R56" s="27">
        <f t="array" ref="R56">SUM(IF($E56:$N56&lt;TRANSPOSE($D$5:$D$14),1,"-"))+SUM(IF($E56:$N56&gt;TRANSPOSE($E$5:$E$14),1,"-"))</f>
        <v>0</v>
      </c>
      <c r="S56" s="27">
        <f t="array" ref="S56">SUM(IF(MMULT($E56:$N56,$C$18:$F$27)&lt;$C$31:$F$31,1,"-"))+SUM(IF(MMULT($E56:$N56,$C$18:$F$27)&gt;$C$32:$F$32,1,"-"))</f>
        <v>0</v>
      </c>
      <c r="T56" s="27">
        <f t="shared" si="1"/>
        <v>0.99999999999999978</v>
      </c>
    </row>
    <row r="57" spans="2:20" x14ac:dyDescent="0.2">
      <c r="B57" s="20">
        <v>7.4110166839454858E-2</v>
      </c>
      <c r="C57" s="21">
        <v>9.3796149597233952E-2</v>
      </c>
      <c r="E57" s="20">
        <v>0.21791898157442741</v>
      </c>
      <c r="F57" s="25">
        <v>1.2310235308222387E-7</v>
      </c>
      <c r="G57" s="25">
        <v>1.7227290855476151E-7</v>
      </c>
      <c r="H57" s="25">
        <v>0.28208196167932714</v>
      </c>
      <c r="I57" s="25">
        <v>9.9998775171580762E-2</v>
      </c>
      <c r="J57" s="25">
        <v>0.2071561384524703</v>
      </c>
      <c r="K57" s="25">
        <v>1.9192265395789299E-8</v>
      </c>
      <c r="L57" s="25">
        <v>1.7787039254218302E-7</v>
      </c>
      <c r="M57" s="25">
        <v>0.19284332128608894</v>
      </c>
      <c r="N57" s="21">
        <v>3.2939818568737238E-7</v>
      </c>
      <c r="P57" s="27">
        <f t="array" ref="P57">SQRT(MMULT($E57:$N57,MMULT($G$5:$P$14,TRANSPOSE($E57:$N57))))-B57</f>
        <v>0</v>
      </c>
      <c r="Q57" s="27">
        <f t="shared" si="0"/>
        <v>0</v>
      </c>
      <c r="R57" s="27">
        <f t="array" ref="R57">SUM(IF($E57:$N57&lt;TRANSPOSE($D$5:$D$14),1,"-"))+SUM(IF($E57:$N57&gt;TRANSPOSE($E$5:$E$14),1,"-"))</f>
        <v>0</v>
      </c>
      <c r="S57" s="27">
        <f t="array" ref="S57">SUM(IF(MMULT($E57:$N57,$C$18:$F$27)&lt;$C$31:$F$31,1,"-"))+SUM(IF(MMULT($E57:$N57,$C$18:$F$27)&gt;$C$32:$F$32,1,"-"))</f>
        <v>0</v>
      </c>
      <c r="T57" s="27">
        <f t="shared" si="1"/>
        <v>0.99999999999999989</v>
      </c>
    </row>
    <row r="58" spans="2:20" x14ac:dyDescent="0.2">
      <c r="B58" s="20">
        <v>7.4113359670466339E-2</v>
      </c>
      <c r="C58" s="21">
        <v>9.3988436063547579E-2</v>
      </c>
      <c r="E58" s="20">
        <v>0.21860280915203401</v>
      </c>
      <c r="F58" s="25">
        <v>1.2202441257039712E-7</v>
      </c>
      <c r="G58" s="25">
        <v>1.7083518228136156E-7</v>
      </c>
      <c r="H58" s="25">
        <v>0.28139809949314776</v>
      </c>
      <c r="I58" s="25">
        <v>9.9998812113184135E-2</v>
      </c>
      <c r="J58" s="25">
        <v>0.20946585180197033</v>
      </c>
      <c r="K58" s="25">
        <v>1.8942957649167132E-8</v>
      </c>
      <c r="L58" s="25">
        <v>1.7573220928131382E-7</v>
      </c>
      <c r="M58" s="25">
        <v>0.19053360741165068</v>
      </c>
      <c r="N58" s="21">
        <v>3.3249325125855948E-7</v>
      </c>
      <c r="P58" s="27">
        <f t="array" ref="P58">SQRT(MMULT($E58:$N58,MMULT($G$5:$P$14,TRANSPOSE($E58:$N58))))-B58</f>
        <v>0</v>
      </c>
      <c r="Q58" s="27">
        <f t="shared" si="0"/>
        <v>0</v>
      </c>
      <c r="R58" s="27">
        <f t="array" ref="R58">SUM(IF($E58:$N58&lt;TRANSPOSE($D$5:$D$14),1,"-"))+SUM(IF($E58:$N58&gt;TRANSPOSE($E$5:$E$14),1,"-"))</f>
        <v>0</v>
      </c>
      <c r="S58" s="27">
        <f t="array" ref="S58">SUM(IF(MMULT($E58:$N58,$C$18:$F$27)&lt;$C$31:$F$31,1,"-"))+SUM(IF(MMULT($E58:$N58,$C$18:$F$27)&gt;$C$32:$F$32,1,"-"))</f>
        <v>0</v>
      </c>
      <c r="T58" s="27">
        <f t="shared" si="1"/>
        <v>0.99999999999999989</v>
      </c>
    </row>
    <row r="59" spans="2:20" x14ac:dyDescent="0.2">
      <c r="B59" s="20">
        <v>7.4116707679194593E-2</v>
      </c>
      <c r="C59" s="21">
        <v>9.4180722529861219E-2</v>
      </c>
      <c r="E59" s="20">
        <v>0.21928665342256851</v>
      </c>
      <c r="F59" s="25">
        <v>6.8807676638544548E-9</v>
      </c>
      <c r="G59" s="25">
        <v>9.6443489954842546E-9</v>
      </c>
      <c r="H59" s="25">
        <v>0.28071339638927739</v>
      </c>
      <c r="I59" s="25">
        <v>9.9999934427348072E-2</v>
      </c>
      <c r="J59" s="25">
        <v>0.21177542069207619</v>
      </c>
      <c r="K59" s="25">
        <v>1.0634491645879096E-9</v>
      </c>
      <c r="L59" s="25">
        <v>9.8763200848890576E-9</v>
      </c>
      <c r="M59" s="25">
        <v>0.18822454848089595</v>
      </c>
      <c r="N59" s="21">
        <v>1.9122947992931899E-8</v>
      </c>
      <c r="P59" s="27">
        <f t="array" ref="P59">SQRT(MMULT($E59:$N59,MMULT($G$5:$P$14,TRANSPOSE($E59:$N59))))-B59</f>
        <v>0</v>
      </c>
      <c r="Q59" s="27">
        <f t="shared" si="0"/>
        <v>0</v>
      </c>
      <c r="R59" s="27">
        <f t="array" ref="R59">SUM(IF($E59:$N59&lt;TRANSPOSE($D$5:$D$14),1,"-"))+SUM(IF($E59:$N59&gt;TRANSPOSE($E$5:$E$14),1,"-"))</f>
        <v>0</v>
      </c>
      <c r="S59" s="27">
        <f t="array" ref="S59">SUM(IF(MMULT($E59:$N59,$C$18:$F$27)&lt;$C$31:$F$31,1,"-"))+SUM(IF(MMULT($E59:$N59,$C$18:$F$27)&gt;$C$32:$F$32,1,"-"))</f>
        <v>0</v>
      </c>
      <c r="T59" s="27">
        <f t="shared" si="1"/>
        <v>1.0000000000000002</v>
      </c>
    </row>
    <row r="60" spans="2:20" x14ac:dyDescent="0.2">
      <c r="B60" s="20">
        <v>7.4120227742517891E-2</v>
      </c>
      <c r="C60" s="21">
        <v>9.4373008996174845E-2</v>
      </c>
      <c r="E60" s="20">
        <v>0.21997048341646672</v>
      </c>
      <c r="F60" s="25">
        <v>6.7245682818362631E-9</v>
      </c>
      <c r="G60" s="25">
        <v>9.428848369446955E-9</v>
      </c>
      <c r="H60" s="25">
        <v>0.28002956391377498</v>
      </c>
      <c r="I60" s="25">
        <v>9.9999937259894603E-2</v>
      </c>
      <c r="J60" s="25">
        <v>0.2140851544396076</v>
      </c>
      <c r="K60" s="25">
        <v>1.0348267771310247E-9</v>
      </c>
      <c r="L60" s="25">
        <v>9.6204481074097185E-9</v>
      </c>
      <c r="M60" s="25">
        <v>0.18591481510991092</v>
      </c>
      <c r="N60" s="21">
        <v>1.9051653667837568E-8</v>
      </c>
      <c r="P60" s="27">
        <f t="array" ref="P60">SQRT(MMULT($E60:$N60,MMULT($G$5:$P$14,TRANSPOSE($E60:$N60))))-B60</f>
        <v>0</v>
      </c>
      <c r="Q60" s="27">
        <f t="shared" si="0"/>
        <v>0</v>
      </c>
      <c r="R60" s="27">
        <f t="array" ref="R60">SUM(IF($E60:$N60&lt;TRANSPOSE($D$5:$D$14),1,"-"))+SUM(IF($E60:$N60&gt;TRANSPOSE($E$5:$E$14),1,"-"))</f>
        <v>0</v>
      </c>
      <c r="S60" s="27">
        <f t="array" ref="S60">SUM(IF(MMULT($E60:$N60,$C$18:$F$27)&lt;$C$31:$F$31,1,"-"))+SUM(IF(MMULT($E60:$N60,$C$18:$F$27)&gt;$C$32:$F$32,1,"-"))</f>
        <v>0</v>
      </c>
      <c r="T60" s="27">
        <f t="shared" si="1"/>
        <v>1</v>
      </c>
    </row>
    <row r="61" spans="2:20" x14ac:dyDescent="0.2">
      <c r="B61" s="20">
        <v>7.4123911177275736E-2</v>
      </c>
      <c r="C61" s="21">
        <v>9.4565295462488472E-2</v>
      </c>
      <c r="E61" s="20">
        <v>0.22065431226083937</v>
      </c>
      <c r="F61" s="25">
        <v>4.1806031578910842E-9</v>
      </c>
      <c r="G61" s="25">
        <v>6.4730339905226364E-9</v>
      </c>
      <c r="H61" s="25">
        <v>0.27934571792762192</v>
      </c>
      <c r="I61" s="25">
        <v>9.9999959605541366E-2</v>
      </c>
      <c r="J61" s="25">
        <v>0.2163948845502332</v>
      </c>
      <c r="K61" s="25">
        <v>6.2492784891026323E-10</v>
      </c>
      <c r="L61" s="25">
        <v>6.0265747646814162E-9</v>
      </c>
      <c r="M61" s="25">
        <v>0.18360509362125163</v>
      </c>
      <c r="N61" s="21">
        <v>1.4729372627745494E-8</v>
      </c>
      <c r="P61" s="27">
        <f t="array" ref="P61">SQRT(MMULT($E61:$N61,MMULT($G$5:$P$14,TRANSPOSE($E61:$N61))))-B61</f>
        <v>0</v>
      </c>
      <c r="Q61" s="27">
        <f t="shared" si="0"/>
        <v>0</v>
      </c>
      <c r="R61" s="27">
        <f t="array" ref="R61">SUM(IF($E61:$N61&lt;TRANSPOSE($D$5:$D$14),1,"-"))+SUM(IF($E61:$N61&gt;TRANSPOSE($E$5:$E$14),1,"-"))</f>
        <v>0</v>
      </c>
      <c r="S61" s="27">
        <f t="array" ref="S61">SUM(IF(MMULT($E61:$N61,$C$18:$F$27)&lt;$C$31:$F$31,1,"-"))+SUM(IF(MMULT($E61:$N61,$C$18:$F$27)&gt;$C$32:$F$32,1,"-"))</f>
        <v>0</v>
      </c>
      <c r="T61" s="27">
        <f t="shared" si="1"/>
        <v>1</v>
      </c>
    </row>
    <row r="62" spans="2:20" x14ac:dyDescent="0.2">
      <c r="B62" s="20">
        <v>7.4127758103294403E-2</v>
      </c>
      <c r="C62" s="21">
        <v>9.4757581928802084E-2</v>
      </c>
      <c r="E62" s="20">
        <v>0.2213381444503707</v>
      </c>
      <c r="F62" s="25">
        <v>1.8275744529275699E-9</v>
      </c>
      <c r="G62" s="25">
        <v>2.5641593468061305E-9</v>
      </c>
      <c r="H62" s="25">
        <v>0.27866186772440793</v>
      </c>
      <c r="I62" s="25">
        <v>9.9999983633720466E-2</v>
      </c>
      <c r="J62" s="25">
        <v>0.21870461846204012</v>
      </c>
      <c r="K62" s="25">
        <v>2.7881133280102321E-10</v>
      </c>
      <c r="L62" s="25">
        <v>2.5975226601882537E-9</v>
      </c>
      <c r="M62" s="25">
        <v>0.1812953730734736</v>
      </c>
      <c r="N62" s="21">
        <v>5.3879195197528307E-9</v>
      </c>
      <c r="P62" s="27">
        <f t="array" ref="P62">SQRT(MMULT($E62:$N62,MMULT($G$5:$P$14,TRANSPOSE($E62:$N62))))-B62</f>
        <v>0</v>
      </c>
      <c r="Q62" s="27">
        <f t="shared" si="0"/>
        <v>0</v>
      </c>
      <c r="R62" s="27">
        <f t="array" ref="R62">SUM(IF($E62:$N62&lt;TRANSPOSE($D$5:$D$14),1,"-"))+SUM(IF($E62:$N62&gt;TRANSPOSE($E$5:$E$14),1,"-"))</f>
        <v>0</v>
      </c>
      <c r="S62" s="27">
        <f t="array" ref="S62">SUM(IF(MMULT($E62:$N62,$C$18:$F$27)&lt;$C$31:$F$31,1,"-"))+SUM(IF(MMULT($E62:$N62,$C$18:$F$27)&gt;$C$32:$F$32,1,"-"))</f>
        <v>0</v>
      </c>
      <c r="T62" s="27">
        <f t="shared" si="1"/>
        <v>1</v>
      </c>
    </row>
    <row r="63" spans="2:20" x14ac:dyDescent="0.2">
      <c r="B63" s="20">
        <v>7.4131768696397718E-2</v>
      </c>
      <c r="C63" s="21">
        <v>9.4949868395115725E-2</v>
      </c>
      <c r="E63" s="20">
        <v>0.22202197453681602</v>
      </c>
      <c r="F63" s="25">
        <v>1.8162449573611542E-9</v>
      </c>
      <c r="G63" s="25">
        <v>2.5492904090223142E-9</v>
      </c>
      <c r="H63" s="25">
        <v>0.27797803723105702</v>
      </c>
      <c r="I63" s="25">
        <v>9.9999984064666689E-2</v>
      </c>
      <c r="J63" s="25">
        <v>0.2210143531856254</v>
      </c>
      <c r="K63" s="25">
        <v>2.7587572738910204E-10</v>
      </c>
      <c r="L63" s="25">
        <v>2.5727722503171455E-9</v>
      </c>
      <c r="M63" s="25">
        <v>0.17898563830011319</v>
      </c>
      <c r="N63" s="21">
        <v>5.4675380980605408E-9</v>
      </c>
      <c r="P63" s="27">
        <f t="array" ref="P63">SQRT(MMULT($E63:$N63,MMULT($G$5:$P$14,TRANSPOSE($E63:$N63))))-B63</f>
        <v>0</v>
      </c>
      <c r="Q63" s="27">
        <f t="shared" si="0"/>
        <v>0</v>
      </c>
      <c r="R63" s="27">
        <f t="array" ref="R63">SUM(IF($E63:$N63&lt;TRANSPOSE($D$5:$D$14),1,"-"))+SUM(IF($E63:$N63&gt;TRANSPOSE($E$5:$E$14),1,"-"))</f>
        <v>0</v>
      </c>
      <c r="S63" s="27">
        <f t="array" ref="S63">SUM(IF(MMULT($E63:$N63,$C$18:$F$27)&lt;$C$31:$F$31,1,"-"))+SUM(IF(MMULT($E63:$N63,$C$18:$F$27)&gt;$C$32:$F$32,1,"-"))</f>
        <v>0</v>
      </c>
      <c r="T63" s="27">
        <f t="shared" si="1"/>
        <v>0.99999999999999967</v>
      </c>
    </row>
    <row r="64" spans="2:20" x14ac:dyDescent="0.2">
      <c r="B64" s="20">
        <v>7.4135942743749891E-2</v>
      </c>
      <c r="C64" s="21">
        <v>9.5142154861429337E-2</v>
      </c>
      <c r="E64" s="20">
        <v>0.22270580462157313</v>
      </c>
      <c r="F64" s="25">
        <v>1.8046401097595474E-9</v>
      </c>
      <c r="G64" s="25">
        <v>2.5340350849847873E-9</v>
      </c>
      <c r="H64" s="25">
        <v>0.2772942067522785</v>
      </c>
      <c r="I64" s="25">
        <v>9.9999984483373827E-2</v>
      </c>
      <c r="J64" s="25">
        <v>0.22332408791323818</v>
      </c>
      <c r="K64" s="25">
        <v>2.7291444669567816E-10</v>
      </c>
      <c r="L64" s="25">
        <v>2.5477281259479457E-9</v>
      </c>
      <c r="M64" s="25">
        <v>0.17667590351950055</v>
      </c>
      <c r="N64" s="21">
        <v>5.5507180875115934E-9</v>
      </c>
      <c r="P64" s="27">
        <f t="array" ref="P64">SQRT(MMULT($E64:$N64,MMULT($G$5:$P$14,TRANSPOSE($E64:$N64))))-B64</f>
        <v>0</v>
      </c>
      <c r="Q64" s="27">
        <f t="shared" si="0"/>
        <v>0</v>
      </c>
      <c r="R64" s="27">
        <f t="array" ref="R64">SUM(IF($E64:$N64&lt;TRANSPOSE($D$5:$D$14),1,"-"))+SUM(IF($E64:$N64&gt;TRANSPOSE($E$5:$E$14),1,"-"))</f>
        <v>0</v>
      </c>
      <c r="S64" s="27">
        <f t="array" ref="S64">SUM(IF(MMULT($E64:$N64,$C$18:$F$27)&lt;$C$31:$F$31,1,"-"))+SUM(IF(MMULT($E64:$N64,$C$18:$F$27)&gt;$C$32:$F$32,1,"-"))</f>
        <v>0</v>
      </c>
      <c r="T64" s="27">
        <f t="shared" si="1"/>
        <v>1.0000000000000002</v>
      </c>
    </row>
    <row r="65" spans="2:20" x14ac:dyDescent="0.2">
      <c r="B65" s="20">
        <v>7.4140280217746893E-2</v>
      </c>
      <c r="C65" s="21">
        <v>9.533444132774295E-2</v>
      </c>
      <c r="E65" s="20">
        <v>0.22338963470465142</v>
      </c>
      <c r="F65" s="25">
        <v>1.7928002811797627E-9</v>
      </c>
      <c r="G65" s="25">
        <v>2.5184491188623168E-9</v>
      </c>
      <c r="H65" s="25">
        <v>0.27661037628775936</v>
      </c>
      <c r="I65" s="25">
        <v>9.9999984890053115E-2</v>
      </c>
      <c r="J65" s="25">
        <v>0.225633822644246</v>
      </c>
      <c r="K65" s="25">
        <v>2.6993409032016769E-10</v>
      </c>
      <c r="L65" s="25">
        <v>2.5224515475290773E-9</v>
      </c>
      <c r="M65" s="25">
        <v>0.17436616873177146</v>
      </c>
      <c r="N65" s="21">
        <v>5.6378835686049048E-9</v>
      </c>
      <c r="P65" s="27">
        <f t="array" ref="P65">SQRT(MMULT($E65:$N65,MMULT($G$5:$P$14,TRANSPOSE($E65:$N65))))-B65</f>
        <v>0</v>
      </c>
      <c r="Q65" s="27">
        <f t="shared" si="0"/>
        <v>0</v>
      </c>
      <c r="R65" s="27">
        <f t="array" ref="R65">SUM(IF($E65:$N65&lt;TRANSPOSE($D$5:$D$14),1,"-"))+SUM(IF($E65:$N65&gt;TRANSPOSE($E$5:$E$14),1,"-"))</f>
        <v>0</v>
      </c>
      <c r="S65" s="27">
        <f t="array" ref="S65">SUM(IF(MMULT($E65:$N65,$C$18:$F$27)&lt;$C$31:$F$31,1,"-"))+SUM(IF(MMULT($E65:$N65,$C$18:$F$27)&gt;$C$32:$F$32,1,"-"))</f>
        <v>0</v>
      </c>
      <c r="T65" s="27">
        <f t="shared" si="1"/>
        <v>1</v>
      </c>
    </row>
    <row r="66" spans="2:20" x14ac:dyDescent="0.2">
      <c r="B66" s="20">
        <v>7.4144781089709622E-2</v>
      </c>
      <c r="C66" s="21">
        <v>9.5526727794056604E-2</v>
      </c>
      <c r="E66" s="20">
        <v>0.22407346478602333</v>
      </c>
      <c r="F66" s="25">
        <v>1.7807541089744493E-9</v>
      </c>
      <c r="G66" s="25">
        <v>2.5025718756408133E-9</v>
      </c>
      <c r="H66" s="25">
        <v>0.27592654583716281</v>
      </c>
      <c r="I66" s="25">
        <v>9.9999985285004783E-2</v>
      </c>
      <c r="J66" s="25">
        <v>0.22794355737798994</v>
      </c>
      <c r="K66" s="25">
        <v>2.6693939079451203E-10</v>
      </c>
      <c r="L66" s="25">
        <v>2.4969865487223805E-9</v>
      </c>
      <c r="M66" s="25">
        <v>0.17205643393710163</v>
      </c>
      <c r="N66" s="21">
        <v>5.72946563910217E-9</v>
      </c>
      <c r="P66" s="27">
        <f t="array" ref="P66">SQRT(MMULT($E66:$N66,MMULT($G$5:$P$14,TRANSPOSE($E66:$N66))))-B66</f>
        <v>0</v>
      </c>
      <c r="Q66" s="27">
        <f t="shared" si="0"/>
        <v>0</v>
      </c>
      <c r="R66" s="27">
        <f t="array" ref="R66">SUM(IF($E66:$N66&lt;TRANSPOSE($D$5:$D$14),1,"-"))+SUM(IF($E66:$N66&gt;TRANSPOSE($E$5:$E$14),1,"-"))</f>
        <v>0</v>
      </c>
      <c r="S66" s="27">
        <f t="array" ref="S66">SUM(IF(MMULT($E66:$N66,$C$18:$F$27)&lt;$C$31:$F$31,1,"-"))+SUM(IF(MMULT($E66:$N66,$C$18:$F$27)&gt;$C$32:$F$32,1,"-"))</f>
        <v>0</v>
      </c>
      <c r="T66" s="27">
        <f t="shared" si="1"/>
        <v>1</v>
      </c>
    </row>
    <row r="67" spans="2:20" x14ac:dyDescent="0.2">
      <c r="B67" s="20">
        <v>7.4149445329884864E-2</v>
      </c>
      <c r="C67" s="21">
        <v>9.5719014260370203E-2</v>
      </c>
      <c r="E67" s="20">
        <v>0.22475729486563498</v>
      </c>
      <c r="F67" s="25">
        <v>1.7685205018699925E-9</v>
      </c>
      <c r="G67" s="25">
        <v>2.4864291243169E-9</v>
      </c>
      <c r="H67" s="25">
        <v>0.27524271540013578</v>
      </c>
      <c r="I67" s="25">
        <v>9.9999985668593236E-2</v>
      </c>
      <c r="J67" s="25">
        <v>0.23025329211378071</v>
      </c>
      <c r="K67" s="25">
        <v>2.6393355177869969E-10</v>
      </c>
      <c r="L67" s="25">
        <v>2.4713630180163264E-9</v>
      </c>
      <c r="M67" s="25">
        <v>0.16974669913569818</v>
      </c>
      <c r="N67" s="21">
        <v>5.825910943144357E-9</v>
      </c>
      <c r="P67" s="27">
        <f t="array" ref="P67">SQRT(MMULT($E67:$N67,MMULT($G$5:$P$14,TRANSPOSE($E67:$N67))))-B67</f>
        <v>0</v>
      </c>
      <c r="Q67" s="27">
        <f t="shared" si="0"/>
        <v>0</v>
      </c>
      <c r="R67" s="27">
        <f t="array" ref="R67">SUM(IF($E67:$N67&lt;TRANSPOSE($D$5:$D$14),1,"-"))+SUM(IF($E67:$N67&gt;TRANSPOSE($E$5:$E$14),1,"-"))</f>
        <v>0</v>
      </c>
      <c r="S67" s="27">
        <f t="array" ref="S67">SUM(IF(MMULT($E67:$N67,$C$18:$F$27)&lt;$C$31:$F$31,1,"-"))+SUM(IF(MMULT($E67:$N67,$C$18:$F$27)&gt;$C$32:$F$32,1,"-"))</f>
        <v>0</v>
      </c>
      <c r="T67" s="27">
        <f t="shared" si="1"/>
        <v>1</v>
      </c>
    </row>
    <row r="68" spans="2:20" x14ac:dyDescent="0.2">
      <c r="B68" s="20">
        <v>7.4154272907446347E-2</v>
      </c>
      <c r="C68" s="21">
        <v>9.5911300726683843E-2</v>
      </c>
      <c r="E68" s="20">
        <v>0.22544112494341337</v>
      </c>
      <c r="F68" s="25">
        <v>1.7561097491414099E-9</v>
      </c>
      <c r="G68" s="25">
        <v>2.4700345668273627E-9</v>
      </c>
      <c r="H68" s="25">
        <v>0.27455888497631542</v>
      </c>
      <c r="I68" s="25">
        <v>9.9999986041231864E-2</v>
      </c>
      <c r="J68" s="25">
        <v>0.23256302685089705</v>
      </c>
      <c r="K68" s="25">
        <v>2.6091844508664879E-10</v>
      </c>
      <c r="L68" s="25">
        <v>2.4455984770495243E-9</v>
      </c>
      <c r="M68" s="25">
        <v>0.16743696432779268</v>
      </c>
      <c r="N68" s="21">
        <v>5.9276885253141555E-9</v>
      </c>
      <c r="P68" s="27">
        <f t="array" ref="P68">SQRT(MMULT($E68:$N68,MMULT($G$5:$P$14,TRANSPOSE($E68:$N68))))-B68</f>
        <v>0</v>
      </c>
      <c r="Q68" s="27">
        <f t="shared" si="0"/>
        <v>0</v>
      </c>
      <c r="R68" s="27">
        <f t="array" ref="R68">SUM(IF($E68:$N68&lt;TRANSPOSE($D$5:$D$14),1,"-"))+SUM(IF($E68:$N68&gt;TRANSPOSE($E$5:$E$14),1,"-"))</f>
        <v>0</v>
      </c>
      <c r="S68" s="27">
        <f t="array" ref="S68">SUM(IF(MMULT($E68:$N68,$C$18:$F$27)&lt;$C$31:$F$31,1,"-"))+SUM(IF(MMULT($E68:$N68,$C$18:$F$27)&gt;$C$32:$F$32,1,"-"))</f>
        <v>0</v>
      </c>
      <c r="T68" s="27">
        <f t="shared" si="1"/>
        <v>1</v>
      </c>
    </row>
    <row r="69" spans="2:20" x14ac:dyDescent="0.2">
      <c r="B69" s="20">
        <v>7.4159263790495852E-2</v>
      </c>
      <c r="C69" s="21">
        <v>9.6103587192997469E-2</v>
      </c>
      <c r="E69" s="20">
        <v>0.22612495501925353</v>
      </c>
      <c r="F69" s="25">
        <v>1.7435241661445564E-9</v>
      </c>
      <c r="G69" s="25">
        <v>2.4533907170554925E-9</v>
      </c>
      <c r="H69" s="25">
        <v>0.27387505456534944</v>
      </c>
      <c r="I69" s="25">
        <v>9.9999986403373167E-2</v>
      </c>
      <c r="J69" s="25">
        <v>0.23487276158858841</v>
      </c>
      <c r="K69" s="25">
        <v>2.5789473462682768E-10</v>
      </c>
      <c r="L69" s="25">
        <v>2.419699183810955E-9</v>
      </c>
      <c r="M69" s="25">
        <v>0.16512722951363043</v>
      </c>
      <c r="N69" s="21">
        <v>6.0352962549683744E-9</v>
      </c>
      <c r="P69" s="27">
        <f t="array" ref="P69">SQRT(MMULT($E69:$N69,MMULT($G$5:$P$14,TRANSPOSE($E69:$N69))))-B69</f>
        <v>0</v>
      </c>
      <c r="Q69" s="27">
        <f t="shared" si="0"/>
        <v>0</v>
      </c>
      <c r="R69" s="27">
        <f t="array" ref="R69">SUM(IF($E69:$N69&lt;TRANSPOSE($D$5:$D$14),1,"-"))+SUM(IF($E69:$N69&gt;TRANSPOSE($E$5:$E$14),1,"-"))</f>
        <v>0</v>
      </c>
      <c r="S69" s="27">
        <f t="array" ref="S69">SUM(IF(MMULT($E69:$N69,$C$18:$F$27)&lt;$C$31:$F$31,1,"-"))+SUM(IF(MMULT($E69:$N69,$C$18:$F$27)&gt;$C$32:$F$32,1,"-"))</f>
        <v>0</v>
      </c>
      <c r="T69" s="27">
        <f t="shared" si="1"/>
        <v>1</v>
      </c>
    </row>
    <row r="70" spans="2:20" x14ac:dyDescent="0.2">
      <c r="B70" s="20">
        <v>7.416441794606439E-2</v>
      </c>
      <c r="C70" s="21">
        <v>9.6295873659311054E-2</v>
      </c>
      <c r="E70" s="20">
        <v>0.22680878509301616</v>
      </c>
      <c r="F70" s="25">
        <v>1.730758338602224E-9</v>
      </c>
      <c r="G70" s="25">
        <v>2.4364892162037629E-9</v>
      </c>
      <c r="H70" s="25">
        <v>0.27319122416690517</v>
      </c>
      <c r="I70" s="25">
        <v>9.9999986755502784E-2</v>
      </c>
      <c r="J70" s="25">
        <v>0.23718249632607294</v>
      </c>
      <c r="K70" s="25">
        <v>2.5486193861584285E-10</v>
      </c>
      <c r="L70" s="25">
        <v>2.3936606651856116E-9</v>
      </c>
      <c r="M70" s="25">
        <v>0.16281749469346571</v>
      </c>
      <c r="N70" s="21">
        <v>6.1492670330485522E-9</v>
      </c>
      <c r="P70" s="27">
        <f t="array" ref="P70">SQRT(MMULT($E70:$N70,MMULT($G$5:$P$14,TRANSPOSE($E70:$N70))))-B70</f>
        <v>0</v>
      </c>
      <c r="Q70" s="27">
        <f t="shared" si="0"/>
        <v>0</v>
      </c>
      <c r="R70" s="27">
        <f t="array" ref="R70">SUM(IF($E70:$N70&lt;TRANSPOSE($D$5:$D$14),1,"-"))+SUM(IF($E70:$N70&gt;TRANSPOSE($E$5:$E$14),1,"-"))</f>
        <v>0</v>
      </c>
      <c r="S70" s="27">
        <f t="array" ref="S70">SUM(IF(MMULT($E70:$N70,$C$18:$F$27)&lt;$C$31:$F$31,1,"-"))+SUM(IF(MMULT($E70:$N70,$C$18:$F$27)&gt;$C$32:$F$32,1,"-"))</f>
        <v>0</v>
      </c>
      <c r="T70" s="27">
        <f t="shared" si="1"/>
        <v>1</v>
      </c>
    </row>
    <row r="71" spans="2:20" x14ac:dyDescent="0.2">
      <c r="B71" s="20">
        <v>7.4169735340113105E-2</v>
      </c>
      <c r="C71" s="21">
        <v>9.6488160125624722E-2</v>
      </c>
      <c r="E71" s="20">
        <v>0.22749261516453903</v>
      </c>
      <c r="F71" s="25">
        <v>1.7177990121775827E-9</v>
      </c>
      <c r="G71" s="25">
        <v>2.4193106490868002E-9</v>
      </c>
      <c r="H71" s="25">
        <v>0.27250739378066041</v>
      </c>
      <c r="I71" s="25">
        <v>9.9999987098136789E-2</v>
      </c>
      <c r="J71" s="25">
        <v>0.23949223106252682</v>
      </c>
      <c r="K71" s="25">
        <v>2.5181843872175459E-10</v>
      </c>
      <c r="L71" s="25">
        <v>2.3674677535615978E-9</v>
      </c>
      <c r="M71" s="25">
        <v>0.1605077598675661</v>
      </c>
      <c r="N71" s="21">
        <v>6.2701749586684645E-9</v>
      </c>
      <c r="P71" s="27">
        <f t="array" ref="P71">SQRT(MMULT($E71:$N71,MMULT($G$5:$P$14,TRANSPOSE($E71:$N71))))-B71</f>
        <v>0</v>
      </c>
      <c r="Q71" s="27">
        <f t="shared" si="0"/>
        <v>0</v>
      </c>
      <c r="R71" s="27">
        <f t="array" ref="R71">SUM(IF($E71:$N71&lt;TRANSPOSE($D$5:$D$14),1,"-"))+SUM(IF($E71:$N71&gt;TRANSPOSE($E$5:$E$14),1,"-"))</f>
        <v>0</v>
      </c>
      <c r="S71" s="27">
        <f t="array" ref="S71">SUM(IF(MMULT($E71:$N71,$C$18:$F$27)&lt;$C$31:$F$31,1,"-"))+SUM(IF(MMULT($E71:$N71,$C$18:$F$27)&gt;$C$32:$F$32,1,"-"))</f>
        <v>0</v>
      </c>
      <c r="T71" s="27">
        <f t="shared" si="1"/>
        <v>1.0000000000000002</v>
      </c>
    </row>
    <row r="72" spans="2:20" x14ac:dyDescent="0.2">
      <c r="B72" s="20">
        <v>7.4175215937534511E-2</v>
      </c>
      <c r="C72" s="21">
        <v>9.6680446591938335E-2</v>
      </c>
      <c r="E72" s="20">
        <v>0.22817644523363867</v>
      </c>
      <c r="F72" s="25">
        <v>1.7046246598662235E-9</v>
      </c>
      <c r="G72" s="25">
        <v>2.4018239049769405E-9</v>
      </c>
      <c r="H72" s="25">
        <v>0.27182356340630287</v>
      </c>
      <c r="I72" s="25">
        <v>9.9999987431821577E-2</v>
      </c>
      <c r="J72" s="25">
        <v>0.24180196579707539</v>
      </c>
      <c r="K72" s="25">
        <v>2.487614425280243E-10</v>
      </c>
      <c r="L72" s="25">
        <v>2.3410941857959249E-9</v>
      </c>
      <c r="M72" s="25">
        <v>0.15819802503621574</v>
      </c>
      <c r="N72" s="21">
        <v>6.3986416520312717E-9</v>
      </c>
      <c r="P72" s="27">
        <f t="array" ref="P72">SQRT(MMULT($E72:$N72,MMULT($G$5:$P$14,TRANSPOSE($E72:$N72))))-B72</f>
        <v>0</v>
      </c>
      <c r="Q72" s="27">
        <f t="shared" si="0"/>
        <v>0</v>
      </c>
      <c r="R72" s="27">
        <f t="array" ref="R72">SUM(IF($E72:$N72&lt;TRANSPOSE($D$5:$D$14),1,"-"))+SUM(IF($E72:$N72&gt;TRANSPOSE($E$5:$E$14),1,"-"))</f>
        <v>0</v>
      </c>
      <c r="S72" s="27">
        <f t="array" ref="S72">SUM(IF(MMULT($E72:$N72,$C$18:$F$27)&lt;$C$31:$F$31,1,"-"))+SUM(IF(MMULT($E72:$N72,$C$18:$F$27)&gt;$C$32:$F$32,1,"-"))</f>
        <v>0</v>
      </c>
      <c r="T72" s="27">
        <f t="shared" si="1"/>
        <v>1.0000000000000002</v>
      </c>
    </row>
    <row r="73" spans="2:20" x14ac:dyDescent="0.2">
      <c r="B73" s="20">
        <v>7.4180859702153504E-2</v>
      </c>
      <c r="C73" s="21">
        <v>9.6872733058251961E-2</v>
      </c>
      <c r="E73" s="20">
        <v>0.2288602753000932</v>
      </c>
      <c r="F73" s="25">
        <v>1.6912047480012853E-9</v>
      </c>
      <c r="G73" s="25">
        <v>2.3839851096034745E-9</v>
      </c>
      <c r="H73" s="25">
        <v>0.27113973304354666</v>
      </c>
      <c r="I73" s="25">
        <v>9.9999987757135825E-2</v>
      </c>
      <c r="J73" s="25">
        <v>0.24411170052879655</v>
      </c>
      <c r="K73" s="25">
        <v>2.4568690380541825E-10</v>
      </c>
      <c r="L73" s="25">
        <v>2.3145018043412796E-9</v>
      </c>
      <c r="M73" s="25">
        <v>0.15588829019970593</v>
      </c>
      <c r="N73" s="21">
        <v>6.5353429418276429E-9</v>
      </c>
      <c r="P73" s="27">
        <f t="array" ref="P73">SQRT(MMULT($E73:$N73,MMULT($G$5:$P$14,TRANSPOSE($E73:$N73))))-B73</f>
        <v>0</v>
      </c>
      <c r="Q73" s="27">
        <f t="shared" si="0"/>
        <v>0</v>
      </c>
      <c r="R73" s="27">
        <f t="array" ref="R73">SUM(IF($E73:$N73&lt;TRANSPOSE($D$5:$D$14),1,"-"))+SUM(IF($E73:$N73&gt;TRANSPOSE($E$5:$E$14),1,"-"))</f>
        <v>0</v>
      </c>
      <c r="S73" s="27">
        <f t="array" ref="S73">SUM(IF(MMULT($E73:$N73,$C$18:$F$27)&lt;$C$31:$F$31,1,"-"))+SUM(IF(MMULT($E73:$N73,$C$18:$F$27)&gt;$C$32:$F$32,1,"-"))</f>
        <v>0</v>
      </c>
      <c r="T73" s="27">
        <f t="shared" si="1"/>
        <v>0.99999999999999967</v>
      </c>
    </row>
    <row r="74" spans="2:20" x14ac:dyDescent="0.2">
      <c r="B74" s="20">
        <v>7.4186666596728734E-2</v>
      </c>
      <c r="C74" s="21">
        <v>9.7065019524565574E-2</v>
      </c>
      <c r="E74" s="20">
        <v>0.229544105363652</v>
      </c>
      <c r="F74" s="25">
        <v>1.6774987129796527E-9</v>
      </c>
      <c r="G74" s="25">
        <v>2.3657361462755541E-9</v>
      </c>
      <c r="H74" s="25">
        <v>0.2704559026921235</v>
      </c>
      <c r="I74" s="25">
        <v>9.9999988074694249E-2</v>
      </c>
      <c r="J74" s="25">
        <v>0.24642143525670451</v>
      </c>
      <c r="K74" s="25">
        <v>2.4258940371813519E-10</v>
      </c>
      <c r="L74" s="25">
        <v>2.2876393859006159E-9</v>
      </c>
      <c r="M74" s="25">
        <v>0.15357855535834575</v>
      </c>
      <c r="N74" s="21">
        <v>6.681016177474171E-9</v>
      </c>
      <c r="P74" s="27">
        <f t="array" ref="P74">SQRT(MMULT($E74:$N74,MMULT($G$5:$P$14,TRANSPOSE($E74:$N74))))-B74</f>
        <v>0</v>
      </c>
      <c r="Q74" s="27">
        <f t="shared" si="0"/>
        <v>0</v>
      </c>
      <c r="R74" s="27">
        <f t="array" ref="R74">SUM(IF($E74:$N74&lt;TRANSPOSE($D$5:$D$14),1,"-"))+SUM(IF($E74:$N74&gt;TRANSPOSE($E$5:$E$14),1,"-"))</f>
        <v>0</v>
      </c>
      <c r="S74" s="27">
        <f t="array" ref="S74">SUM(IF(MMULT($E74:$N74,$C$18:$F$27)&lt;$C$31:$F$31,1,"-"))+SUM(IF(MMULT($E74:$N74,$C$18:$F$27)&gt;$C$32:$F$32,1,"-"))</f>
        <v>0</v>
      </c>
      <c r="T74" s="27">
        <f t="shared" si="1"/>
        <v>0.99999999999999989</v>
      </c>
    </row>
    <row r="75" spans="2:20" x14ac:dyDescent="0.2">
      <c r="B75" s="20">
        <v>7.4192636582953442E-2</v>
      </c>
      <c r="C75" s="21">
        <v>9.7257305990879228E-2</v>
      </c>
      <c r="E75" s="20">
        <v>0.23022793542403</v>
      </c>
      <c r="F75" s="25">
        <v>1.6634546576074861E-9</v>
      </c>
      <c r="G75" s="25">
        <v>2.3470027743310858E-9</v>
      </c>
      <c r="H75" s="25">
        <v>0.26977207235178319</v>
      </c>
      <c r="I75" s="25">
        <v>9.9999988385152824E-2</v>
      </c>
      <c r="J75" s="25">
        <v>0.24873116997974409</v>
      </c>
      <c r="K75" s="25">
        <v>2.3946199554191772E-10</v>
      </c>
      <c r="L75" s="25">
        <v>2.2604411215501622E-9</v>
      </c>
      <c r="M75" s="25">
        <v>0.15126882051246085</v>
      </c>
      <c r="N75" s="21">
        <v>6.8364685138628849E-9</v>
      </c>
      <c r="P75" s="27">
        <f t="array" ref="P75">SQRT(MMULT($E75:$N75,MMULT($G$5:$P$14,TRANSPOSE($E75:$N75))))-B75</f>
        <v>0</v>
      </c>
      <c r="Q75" s="27">
        <f t="shared" si="0"/>
        <v>0</v>
      </c>
      <c r="R75" s="27">
        <f t="array" ref="R75">SUM(IF($E75:$N75&lt;TRANSPOSE($D$5:$D$14),1,"-"))+SUM(IF($E75:$N75&gt;TRANSPOSE($E$5:$E$14),1,"-"))</f>
        <v>0</v>
      </c>
      <c r="S75" s="27">
        <f t="array" ref="S75">SUM(IF(MMULT($E75:$N75,$C$18:$F$27)&lt;$C$31:$F$31,1,"-"))+SUM(IF(MMULT($E75:$N75,$C$18:$F$27)&gt;$C$32:$F$32,1,"-"))</f>
        <v>0</v>
      </c>
      <c r="T75" s="27">
        <f t="shared" si="1"/>
        <v>1</v>
      </c>
    </row>
    <row r="76" spans="2:20" x14ac:dyDescent="0.2">
      <c r="B76" s="20">
        <v>7.4198769621456773E-2</v>
      </c>
      <c r="C76" s="21">
        <v>9.7449592457192841E-2</v>
      </c>
      <c r="E76" s="20">
        <v>0.23091176548090347</v>
      </c>
      <c r="F76" s="25">
        <v>1.649007778799894E-9</v>
      </c>
      <c r="G76" s="25">
        <v>2.3276923620147117E-9</v>
      </c>
      <c r="H76" s="25">
        <v>0.26908824202229692</v>
      </c>
      <c r="I76" s="25">
        <v>9.9999988689215225E-2</v>
      </c>
      <c r="J76" s="25">
        <v>0.25104090469677887</v>
      </c>
      <c r="K76" s="25">
        <v>2.3629601583509785E-10</v>
      </c>
      <c r="L76" s="25">
        <v>2.2328247731055045E-9</v>
      </c>
      <c r="M76" s="25">
        <v>0.14895908566239802</v>
      </c>
      <c r="N76" s="21">
        <v>7.0025867204513091E-9</v>
      </c>
      <c r="P76" s="27">
        <f t="array" ref="P76">SQRT(MMULT($E76:$N76,MMULT($G$5:$P$14,TRANSPOSE($E76:$N76))))-B76</f>
        <v>0</v>
      </c>
      <c r="Q76" s="27">
        <f t="shared" si="0"/>
        <v>0</v>
      </c>
      <c r="R76" s="27">
        <f t="array" ref="R76">SUM(IF($E76:$N76&lt;TRANSPOSE($D$5:$D$14),1,"-"))+SUM(IF($E76:$N76&gt;TRANSPOSE($E$5:$E$14),1,"-"))</f>
        <v>0</v>
      </c>
      <c r="S76" s="27">
        <f t="array" ref="S76">SUM(IF(MMULT($E76:$N76,$C$18:$F$27)&lt;$C$31:$F$31,1,"-"))+SUM(IF(MMULT($E76:$N76,$C$18:$F$27)&gt;$C$32:$F$32,1,"-"))</f>
        <v>0</v>
      </c>
      <c r="T76" s="27">
        <f t="shared" si="1"/>
        <v>1.0000000000000002</v>
      </c>
    </row>
    <row r="77" spans="2:20" x14ac:dyDescent="0.2">
      <c r="B77" s="20">
        <v>7.4205065669879097E-2</v>
      </c>
      <c r="C77" s="21">
        <v>9.7641878923506439E-2</v>
      </c>
      <c r="E77" s="20">
        <v>0.23159559555793102</v>
      </c>
      <c r="F77" s="25">
        <v>1.6059416329570778E-9</v>
      </c>
      <c r="G77" s="25">
        <v>2.2679532865818719E-9</v>
      </c>
      <c r="H77" s="25">
        <v>0.26840441155478645</v>
      </c>
      <c r="I77" s="25">
        <v>9.9999989177290985E-2</v>
      </c>
      <c r="J77" s="25">
        <v>0.25335063945607711</v>
      </c>
      <c r="K77" s="25">
        <v>2.2906899864276056E-10</v>
      </c>
      <c r="L77" s="25">
        <v>2.1667054006474347E-9</v>
      </c>
      <c r="M77" s="25">
        <v>0.14664935092842113</v>
      </c>
      <c r="N77" s="21">
        <v>7.0558239737566733E-9</v>
      </c>
      <c r="P77" s="27">
        <f t="array" ref="P77">SQRT(MMULT($E77:$N77,MMULT($G$5:$P$14,TRANSPOSE($E77:$N77))))-B77</f>
        <v>0</v>
      </c>
      <c r="Q77" s="27">
        <f t="shared" si="0"/>
        <v>0</v>
      </c>
      <c r="R77" s="27">
        <f t="array" ref="R77">SUM(IF($E77:$N77&lt;TRANSPOSE($D$5:$D$14),1,"-"))+SUM(IF($E77:$N77&gt;TRANSPOSE($E$5:$E$14),1,"-"))</f>
        <v>0</v>
      </c>
      <c r="S77" s="27">
        <f t="array" ref="S77">SUM(IF(MMULT($E77:$N77,$C$18:$F$27)&lt;$C$31:$F$31,1,"-"))+SUM(IF(MMULT($E77:$N77,$C$18:$F$27)&gt;$C$32:$F$32,1,"-"))</f>
        <v>0</v>
      </c>
      <c r="T77" s="27">
        <f t="shared" si="1"/>
        <v>1</v>
      </c>
    </row>
    <row r="78" spans="2:20" x14ac:dyDescent="0.2">
      <c r="B78" s="20">
        <v>7.4211524686689914E-2</v>
      </c>
      <c r="C78" s="21">
        <v>9.7834165389820066E-2</v>
      </c>
      <c r="E78" s="20">
        <v>0.23227942566086737</v>
      </c>
      <c r="F78" s="25">
        <v>1.533287891913176E-9</v>
      </c>
      <c r="G78" s="25">
        <v>2.1663643370165778E-9</v>
      </c>
      <c r="H78" s="25">
        <v>0.26772058094912937</v>
      </c>
      <c r="I78" s="25">
        <v>9.9999989846081966E-2</v>
      </c>
      <c r="J78" s="25">
        <v>0.25566037427615323</v>
      </c>
      <c r="K78" s="25">
        <v>2.1770003119003651E-10</v>
      </c>
      <c r="L78" s="25">
        <v>2.0611973089402655E-9</v>
      </c>
      <c r="M78" s="25">
        <v>0.1443396163097849</v>
      </c>
      <c r="N78" s="21">
        <v>6.9794335233000599E-9</v>
      </c>
      <c r="P78" s="27">
        <f t="array" ref="P78">SQRT(MMULT($E78:$N78,MMULT($G$5:$P$14,TRANSPOSE($E78:$N78))))-B78</f>
        <v>0</v>
      </c>
      <c r="Q78" s="27">
        <f t="shared" si="0"/>
        <v>0</v>
      </c>
      <c r="R78" s="27">
        <f t="array" ref="R78">SUM(IF($E78:$N78&lt;TRANSPOSE($D$5:$D$14),1,"-"))+SUM(IF($E78:$N78&gt;TRANSPOSE($E$5:$E$14),1,"-"))</f>
        <v>0</v>
      </c>
      <c r="S78" s="27">
        <f t="array" ref="S78">SUM(IF(MMULT($E78:$N78,$C$18:$F$27)&lt;$C$31:$F$31,1,"-"))+SUM(IF(MMULT($E78:$N78,$C$18:$F$27)&gt;$C$32:$F$32,1,"-"))</f>
        <v>0</v>
      </c>
      <c r="T78" s="27">
        <f t="shared" si="1"/>
        <v>0.99999999999999978</v>
      </c>
    </row>
    <row r="79" spans="2:20" x14ac:dyDescent="0.2">
      <c r="B79" s="20">
        <v>7.4218149328738867E-2</v>
      </c>
      <c r="C79" s="21">
        <v>9.8026451856133706E-2</v>
      </c>
      <c r="E79" s="20">
        <v>0.23296320517074262</v>
      </c>
      <c r="F79" s="25">
        <v>4.0510191480559829E-8</v>
      </c>
      <c r="G79" s="25">
        <v>5.7151832396377883E-8</v>
      </c>
      <c r="H79" s="25">
        <v>0.26703696132794197</v>
      </c>
      <c r="I79" s="25">
        <v>9.9999739895564127E-2</v>
      </c>
      <c r="J79" s="25">
        <v>0.25796999127824038</v>
      </c>
      <c r="K79" s="25">
        <v>5.6784538105016439E-9</v>
      </c>
      <c r="L79" s="25">
        <v>5.4849903939802468E-8</v>
      </c>
      <c r="M79" s="25">
        <v>0.14202971826111271</v>
      </c>
      <c r="N79" s="21">
        <v>2.2587601640687234E-7</v>
      </c>
      <c r="P79" s="27">
        <f t="array" ref="P79">SQRT(MMULT($E79:$N79,MMULT($G$5:$P$14,TRANSPOSE($E79:$N79))))-B79</f>
        <v>0</v>
      </c>
      <c r="Q79" s="27">
        <f t="shared" si="0"/>
        <v>0</v>
      </c>
      <c r="R79" s="27">
        <f t="array" ref="R79">SUM(IF($E79:$N79&lt;TRANSPOSE($D$5:$D$14),1,"-"))+SUM(IF($E79:$N79&gt;TRANSPOSE($E$5:$E$14),1,"-"))</f>
        <v>0</v>
      </c>
      <c r="S79" s="27">
        <f t="array" ref="S79">SUM(IF(MMULT($E79:$N79,$C$18:$F$27)&lt;$C$31:$F$31,1,"-"))+SUM(IF(MMULT($E79:$N79,$C$18:$F$27)&gt;$C$32:$F$32,1,"-"))</f>
        <v>0</v>
      </c>
      <c r="T79" s="27">
        <f t="shared" si="1"/>
        <v>0.99999999999999989</v>
      </c>
    </row>
    <row r="80" spans="2:20" x14ac:dyDescent="0.2">
      <c r="B80" s="20">
        <v>7.4224934033003898E-2</v>
      </c>
      <c r="C80" s="21">
        <v>9.8218738322447346E-2</v>
      </c>
      <c r="E80" s="20">
        <v>0.23364703364125489</v>
      </c>
      <c r="F80" s="25">
        <v>3.8738918464462563E-8</v>
      </c>
      <c r="G80" s="25">
        <v>5.4645350646436093E-8</v>
      </c>
      <c r="H80" s="25">
        <v>0.26635312138284345</v>
      </c>
      <c r="I80" s="25">
        <v>9.9999755451515002E-2</v>
      </c>
      <c r="J80" s="25">
        <v>0.26027971931938215</v>
      </c>
      <c r="K80" s="25">
        <v>5.4048228601752786E-9</v>
      </c>
      <c r="L80" s="25">
        <v>5.2264554675511974E-8</v>
      </c>
      <c r="M80" s="25">
        <v>0.13971999235033447</v>
      </c>
      <c r="N80" s="21">
        <v>2.2680102345086243E-7</v>
      </c>
      <c r="P80" s="27">
        <f t="array" ref="P80">SQRT(MMULT($E80:$N80,MMULT($G$5:$P$14,TRANSPOSE($E80:$N80))))-B80</f>
        <v>0</v>
      </c>
      <c r="Q80" s="27">
        <f t="shared" si="0"/>
        <v>0</v>
      </c>
      <c r="R80" s="27">
        <f t="array" ref="R80">SUM(IF($E80:$N80&lt;TRANSPOSE($D$5:$D$14),1,"-"))+SUM(IF($E80:$N80&gt;TRANSPOSE($E$5:$E$14),1,"-"))</f>
        <v>0</v>
      </c>
      <c r="S80" s="27">
        <f t="array" ref="S80">SUM(IF(MMULT($E80:$N80,$C$18:$F$27)&lt;$C$31:$F$31,1,"-"))+SUM(IF(MMULT($E80:$N80,$C$18:$F$27)&gt;$C$32:$F$32,1,"-"))</f>
        <v>0</v>
      </c>
      <c r="T80" s="27">
        <f t="shared" si="1"/>
        <v>0.99999999999999989</v>
      </c>
    </row>
    <row r="81" spans="2:20" x14ac:dyDescent="0.2">
      <c r="B81" s="20">
        <v>7.4231881595010735E-2</v>
      </c>
      <c r="C81" s="21">
        <v>9.8411024788760959E-2</v>
      </c>
      <c r="E81" s="20">
        <v>0.23433086162915615</v>
      </c>
      <c r="F81" s="25">
        <v>3.7213868727374882E-8</v>
      </c>
      <c r="G81" s="25">
        <v>5.248910067318594E-8</v>
      </c>
      <c r="H81" s="25">
        <v>0.26566928331238615</v>
      </c>
      <c r="I81" s="25">
        <v>9.9999769045022169E-2</v>
      </c>
      <c r="J81" s="25">
        <v>0.26258944633520354</v>
      </c>
      <c r="K81" s="25">
        <v>5.1675470277597164E-9</v>
      </c>
      <c r="L81" s="25">
        <v>5.0027994044283307E-8</v>
      </c>
      <c r="M81" s="25">
        <v>0.13741026515053387</v>
      </c>
      <c r="N81" s="21">
        <v>2.2962918771617889E-7</v>
      </c>
      <c r="P81" s="27">
        <f t="array" ref="P81">SQRT(MMULT($E81:$N81,MMULT($G$5:$P$14,TRANSPOSE($E81:$N81))))-B81</f>
        <v>0</v>
      </c>
      <c r="Q81" s="27">
        <f t="shared" si="0"/>
        <v>0</v>
      </c>
      <c r="R81" s="27">
        <f t="array" ref="R81">SUM(IF($E81:$N81&lt;TRANSPOSE($D$5:$D$14),1,"-"))+SUM(IF($E81:$N81&gt;TRANSPOSE($E$5:$E$14),1,"-"))</f>
        <v>0</v>
      </c>
      <c r="S81" s="27">
        <f t="array" ref="S81">SUM(IF(MMULT($E81:$N81,$C$18:$F$27)&lt;$C$31:$F$31,1,"-"))+SUM(IF(MMULT($E81:$N81,$C$18:$F$27)&gt;$C$32:$F$32,1,"-"))</f>
        <v>0</v>
      </c>
      <c r="T81" s="27">
        <f t="shared" si="1"/>
        <v>1.0000000000000002</v>
      </c>
    </row>
    <row r="82" spans="2:20" x14ac:dyDescent="0.2">
      <c r="B82" s="20">
        <v>7.4238991967591955E-2</v>
      </c>
      <c r="C82" s="21">
        <v>9.8603311255074585E-2</v>
      </c>
      <c r="E82" s="20">
        <v>0.2350146890488615</v>
      </c>
      <c r="F82" s="25">
        <v>3.59147637166035E-8</v>
      </c>
      <c r="G82" s="25">
        <v>5.065355389602449E-8</v>
      </c>
      <c r="H82" s="25">
        <v>0.26498544704476612</v>
      </c>
      <c r="I82" s="25">
        <v>9.9999780880935071E-2</v>
      </c>
      <c r="J82" s="25">
        <v>0.26489917204876878</v>
      </c>
      <c r="K82" s="25">
        <v>4.9633638735272249E-9</v>
      </c>
      <c r="L82" s="25">
        <v>4.810960970458202E-8</v>
      </c>
      <c r="M82" s="25">
        <v>0.13510053676812039</v>
      </c>
      <c r="N82" s="21">
        <v>2.3456725690790901E-7</v>
      </c>
      <c r="P82" s="27">
        <f t="array" ref="P82">SQRT(MMULT($E82:$N82,MMULT($G$5:$P$14,TRANSPOSE($E82:$N82))))-B82</f>
        <v>0</v>
      </c>
      <c r="Q82" s="27">
        <f t="shared" si="0"/>
        <v>0</v>
      </c>
      <c r="R82" s="27">
        <f t="array" ref="R82">SUM(IF($E82:$N82&lt;TRANSPOSE($D$5:$D$14),1,"-"))+SUM(IF($E82:$N82&gt;TRANSPOSE($E$5:$E$14),1,"-"))</f>
        <v>0</v>
      </c>
      <c r="S82" s="27">
        <f t="array" ref="S82">SUM(IF(MMULT($E82:$N82,$C$18:$F$27)&lt;$C$31:$F$31,1,"-"))+SUM(IF(MMULT($E82:$N82,$C$18:$F$27)&gt;$C$32:$F$32,1,"-"))</f>
        <v>0</v>
      </c>
      <c r="T82" s="27">
        <f t="shared" si="1"/>
        <v>1</v>
      </c>
    </row>
    <row r="83" spans="2:20" x14ac:dyDescent="0.2">
      <c r="B83" s="20">
        <v>7.4246265103038445E-2</v>
      </c>
      <c r="C83" s="21">
        <v>9.8795597721388198E-2</v>
      </c>
      <c r="E83" s="20">
        <v>0.23569851577978351</v>
      </c>
      <c r="F83" s="25">
        <v>3.4828052065054648E-8</v>
      </c>
      <c r="G83" s="25">
        <v>4.9118908680516462E-8</v>
      </c>
      <c r="H83" s="25">
        <v>0.26430161257705337</v>
      </c>
      <c r="I83" s="25">
        <v>9.999979111447195E-2</v>
      </c>
      <c r="J83" s="25">
        <v>0.26720889609509835</v>
      </c>
      <c r="K83" s="25">
        <v>4.7899811029485316E-9</v>
      </c>
      <c r="L83" s="25">
        <v>4.6488109905932406E-8</v>
      </c>
      <c r="M83" s="25">
        <v>0.13279080727232284</v>
      </c>
      <c r="N83" s="21">
        <v>2.419362182356244E-7</v>
      </c>
      <c r="P83" s="27">
        <f t="array" ref="P83">SQRT(MMULT($E83:$N83,MMULT($G$5:$P$14,TRANSPOSE($E83:$N83))))-B83</f>
        <v>0</v>
      </c>
      <c r="Q83" s="27">
        <f t="shared" si="0"/>
        <v>0</v>
      </c>
      <c r="R83" s="27">
        <f t="array" ref="R83">SUM(IF($E83:$N83&lt;TRANSPOSE($D$5:$D$14),1,"-"))+SUM(IF($E83:$N83&gt;TRANSPOSE($E$5:$E$14),1,"-"))</f>
        <v>0</v>
      </c>
      <c r="S83" s="27">
        <f t="array" ref="S83">SUM(IF(MMULT($E83:$N83,$C$18:$F$27)&lt;$C$31:$F$31,1,"-"))+SUM(IF(MMULT($E83:$N83,$C$18:$F$27)&gt;$C$32:$F$32,1,"-"))</f>
        <v>0</v>
      </c>
      <c r="T83" s="27">
        <f t="shared" si="1"/>
        <v>1</v>
      </c>
    </row>
    <row r="84" spans="2:20" x14ac:dyDescent="0.2">
      <c r="B84" s="20">
        <v>7.4253700956373764E-2</v>
      </c>
      <c r="C84" s="21">
        <v>9.8987884187701838E-2</v>
      </c>
      <c r="E84" s="20">
        <v>0.23638234152947146</v>
      </c>
      <c r="F84" s="25">
        <v>3.3993134050486858E-8</v>
      </c>
      <c r="G84" s="25">
        <v>4.7939896004620437E-8</v>
      </c>
      <c r="H84" s="25">
        <v>0.26361778026913202</v>
      </c>
      <c r="I84" s="25">
        <v>9.999979958756898E-2</v>
      </c>
      <c r="J84" s="25">
        <v>0.26951861766316987</v>
      </c>
      <c r="K84" s="25">
        <v>4.6523331609884802E-9</v>
      </c>
      <c r="L84" s="25">
        <v>4.5213534558715274E-8</v>
      </c>
      <c r="M84" s="25">
        <v>0.13048107650430038</v>
      </c>
      <c r="N84" s="21">
        <v>2.5264745967436165E-7</v>
      </c>
      <c r="P84" s="27">
        <f t="array" ref="P84">SQRT(MMULT($E84:$N84,MMULT($G$5:$P$14,TRANSPOSE($E84:$N84))))-B84</f>
        <v>0</v>
      </c>
      <c r="Q84" s="27">
        <f t="shared" si="0"/>
        <v>0</v>
      </c>
      <c r="R84" s="27">
        <f t="array" ref="R84">SUM(IF($E84:$N84&lt;TRANSPOSE($D$5:$D$14),1,"-"))+SUM(IF($E84:$N84&gt;TRANSPOSE($E$5:$E$14),1,"-"))</f>
        <v>0</v>
      </c>
      <c r="S84" s="27">
        <f t="array" ref="S84">SUM(IF(MMULT($E84:$N84,$C$18:$F$27)&lt;$C$31:$F$31,1,"-"))+SUM(IF(MMULT($E84:$N84,$C$18:$F$27)&gt;$C$32:$F$32,1,"-"))</f>
        <v>0</v>
      </c>
      <c r="T84" s="27">
        <f t="shared" si="1"/>
        <v>1.0000000000000002</v>
      </c>
    </row>
    <row r="85" spans="2:20" x14ac:dyDescent="0.2">
      <c r="B85" s="20">
        <v>7.4261299474319628E-2</v>
      </c>
      <c r="C85" s="21">
        <v>9.9180170654015437E-2</v>
      </c>
      <c r="E85" s="20">
        <v>0.2370661662057342</v>
      </c>
      <c r="F85" s="25">
        <v>3.3345688043561938E-8</v>
      </c>
      <c r="G85" s="25">
        <v>4.7025847487416634E-8</v>
      </c>
      <c r="H85" s="25">
        <v>0.26293394991738456</v>
      </c>
      <c r="I85" s="25">
        <v>9.9999806744463904E-2</v>
      </c>
      <c r="J85" s="25">
        <v>0.27182833645080556</v>
      </c>
      <c r="K85" s="25">
        <v>4.5412388597033447E-9</v>
      </c>
      <c r="L85" s="25">
        <v>4.419607796128481E-8</v>
      </c>
      <c r="M85" s="25">
        <v>0.12817134471851879</v>
      </c>
      <c r="N85" s="21">
        <v>2.6685424047795556E-7</v>
      </c>
      <c r="P85" s="27">
        <f t="array" ref="P85">SQRT(MMULT($E85:$N85,MMULT($G$5:$P$14,TRANSPOSE($E85:$N85))))-B85</f>
        <v>0</v>
      </c>
      <c r="Q85" s="27">
        <f t="shared" si="0"/>
        <v>0</v>
      </c>
      <c r="R85" s="27">
        <f t="array" ref="R85">SUM(IF($E85:$N85&lt;TRANSPOSE($D$5:$D$14),1,"-"))+SUM(IF($E85:$N85&gt;TRANSPOSE($E$5:$E$14),1,"-"))</f>
        <v>0</v>
      </c>
      <c r="S85" s="27">
        <f t="array" ref="S85">SUM(IF(MMULT($E85:$N85,$C$18:$F$27)&lt;$C$31:$F$31,1,"-"))+SUM(IF(MMULT($E85:$N85,$C$18:$F$27)&gt;$C$32:$F$32,1,"-"))</f>
        <v>0</v>
      </c>
      <c r="T85" s="27">
        <f t="shared" si="1"/>
        <v>0.99999999999999978</v>
      </c>
    </row>
    <row r="86" spans="2:20" x14ac:dyDescent="0.2">
      <c r="B86" s="20">
        <v>7.4269060607455542E-2</v>
      </c>
      <c r="C86" s="21">
        <v>9.9372457120329077E-2</v>
      </c>
      <c r="E86" s="20">
        <v>0.23774998948830264</v>
      </c>
      <c r="F86" s="25">
        <v>3.2889993334078827E-8</v>
      </c>
      <c r="G86" s="25">
        <v>4.6382612750940958E-8</v>
      </c>
      <c r="H86" s="25">
        <v>0.26225012179820989</v>
      </c>
      <c r="I86" s="25">
        <v>9.9999812619041853E-2</v>
      </c>
      <c r="J86" s="25">
        <v>0.27413805156411875</v>
      </c>
      <c r="K86" s="25">
        <v>4.4569167827305522E-9</v>
      </c>
      <c r="L86" s="25">
        <v>4.3438616345439782E-8</v>
      </c>
      <c r="M86" s="25">
        <v>0.12586161187013681</v>
      </c>
      <c r="N86" s="21">
        <v>2.8549205085412751E-7</v>
      </c>
      <c r="P86" s="27">
        <f t="array" ref="P86">SQRT(MMULT($E86:$N86,MMULT($G$5:$P$14,TRANSPOSE($E86:$N86))))-B86</f>
        <v>0</v>
      </c>
      <c r="Q86" s="27">
        <f t="shared" si="0"/>
        <v>0</v>
      </c>
      <c r="R86" s="27">
        <f t="array" ref="R86">SUM(IF($E86:$N86&lt;TRANSPOSE($D$5:$D$14),1,"-"))+SUM(IF($E86:$N86&gt;TRANSPOSE($E$5:$E$14),1,"-"))</f>
        <v>0</v>
      </c>
      <c r="S86" s="27">
        <f t="array" ref="S86">SUM(IF(MMULT($E86:$N86,$C$18:$F$27)&lt;$C$31:$F$31,1,"-"))+SUM(IF(MMULT($E86:$N86,$C$18:$F$27)&gt;$C$32:$F$32,1,"-"))</f>
        <v>0</v>
      </c>
      <c r="T86" s="27">
        <f t="shared" si="1"/>
        <v>1</v>
      </c>
    </row>
    <row r="87" spans="2:20" x14ac:dyDescent="0.2">
      <c r="B87" s="20">
        <v>7.4276984306027707E-2</v>
      </c>
      <c r="C87" s="21">
        <v>9.9564743586642718E-2</v>
      </c>
      <c r="E87" s="20">
        <v>0.2384338109130511</v>
      </c>
      <c r="F87" s="25">
        <v>3.2638838336384345E-8</v>
      </c>
      <c r="G87" s="25">
        <v>4.602815181616731E-8</v>
      </c>
      <c r="H87" s="25">
        <v>0.26156629635995571</v>
      </c>
      <c r="I87" s="25">
        <v>9.9999817197284763E-2</v>
      </c>
      <c r="J87" s="25">
        <v>0.27644776171999003</v>
      </c>
      <c r="K87" s="25">
        <v>4.4007215610769912E-9</v>
      </c>
      <c r="L87" s="25">
        <v>4.2955112067498341E-8</v>
      </c>
      <c r="M87" s="25">
        <v>0.12355187785599543</v>
      </c>
      <c r="N87" s="21">
        <v>3.0993089931550654E-7</v>
      </c>
      <c r="P87" s="27">
        <f t="array" ref="P87">SQRT(MMULT($E87:$N87,MMULT($G$5:$P$14,TRANSPOSE($E87:$N87))))-B87</f>
        <v>0</v>
      </c>
      <c r="Q87" s="27">
        <f t="shared" si="0"/>
        <v>0</v>
      </c>
      <c r="R87" s="27">
        <f t="array" ref="R87">SUM(IF($E87:$N87&lt;TRANSPOSE($D$5:$D$14),1,"-"))+SUM(IF($E87:$N87&gt;TRANSPOSE($E$5:$E$14),1,"-"))</f>
        <v>0</v>
      </c>
      <c r="S87" s="27">
        <f t="array" ref="S87">SUM(IF(MMULT($E87:$N87,$C$18:$F$27)&lt;$C$31:$F$31,1,"-"))+SUM(IF(MMULT($E87:$N87,$C$18:$F$27)&gt;$C$32:$F$32,1,"-"))</f>
        <v>0</v>
      </c>
      <c r="T87" s="27">
        <f t="shared" si="1"/>
        <v>1</v>
      </c>
    </row>
    <row r="88" spans="2:20" x14ac:dyDescent="0.2">
      <c r="B88" s="20">
        <v>7.4285070519994389E-2</v>
      </c>
      <c r="C88" s="21">
        <v>9.9757030052956316E-2</v>
      </c>
      <c r="E88" s="20">
        <v>0.23911762980073489</v>
      </c>
      <c r="F88" s="25">
        <v>3.2613230625689563E-8</v>
      </c>
      <c r="G88" s="25">
        <v>4.5992150287600714E-8</v>
      </c>
      <c r="H88" s="25">
        <v>0.26088247428987577</v>
      </c>
      <c r="I88" s="25">
        <v>9.9999820422207356E-2</v>
      </c>
      <c r="J88" s="25">
        <v>0.27875746504999022</v>
      </c>
      <c r="K88" s="25">
        <v>4.3750807501483197E-9</v>
      </c>
      <c r="L88" s="25">
        <v>4.2769989379357925E-8</v>
      </c>
      <c r="M88" s="25">
        <v>0.12124214250335207</v>
      </c>
      <c r="N88" s="21">
        <v>3.421833887073467E-7</v>
      </c>
      <c r="P88" s="27">
        <f t="array" ref="P88">SQRT(MMULT($E88:$N88,MMULT($G$5:$P$14,TRANSPOSE($E88:$N88))))-B88</f>
        <v>0</v>
      </c>
      <c r="Q88" s="27">
        <f t="shared" si="0"/>
        <v>0</v>
      </c>
      <c r="R88" s="27">
        <f t="array" ref="R88">SUM(IF($E88:$N88&lt;TRANSPOSE($D$5:$D$14),1,"-"))+SUM(IF($E88:$N88&gt;TRANSPOSE($E$5:$E$14),1,"-"))</f>
        <v>0</v>
      </c>
      <c r="S88" s="27">
        <f t="array" ref="S88">SUM(IF(MMULT($E88:$N88,$C$18:$F$27)&lt;$C$31:$F$31,1,"-"))+SUM(IF(MMULT($E88:$N88,$C$18:$F$27)&gt;$C$32:$F$32,1,"-"))</f>
        <v>0</v>
      </c>
      <c r="T88" s="27">
        <f t="shared" si="1"/>
        <v>1</v>
      </c>
    </row>
    <row r="89" spans="2:20" x14ac:dyDescent="0.2">
      <c r="B89" s="20">
        <v>7.4293319199274635E-2</v>
      </c>
      <c r="C89" s="21">
        <v>9.9949316519269957E-2</v>
      </c>
      <c r="E89" s="20">
        <v>0.2398014451295275</v>
      </c>
      <c r="F89" s="25">
        <v>3.2844303120674448E-8</v>
      </c>
      <c r="G89" s="25">
        <v>4.6318737642953241E-8</v>
      </c>
      <c r="H89" s="25">
        <v>0.26019865664433695</v>
      </c>
      <c r="I89" s="25">
        <v>9.9999822186651932E-2</v>
      </c>
      <c r="J89" s="25">
        <v>0.28106715875317934</v>
      </c>
      <c r="K89" s="25">
        <v>4.383724958986217E-9</v>
      </c>
      <c r="L89" s="25">
        <v>4.2920402345301192E-8</v>
      </c>
      <c r="M89" s="25">
        <v>0.1189324055396315</v>
      </c>
      <c r="N89" s="21">
        <v>3.8527950470732499E-7</v>
      </c>
      <c r="P89" s="27">
        <f t="array" ref="P89">SQRT(MMULT($E89:$N89,MMULT($G$5:$P$14,TRANSPOSE($E89:$N89))))-B89</f>
        <v>0</v>
      </c>
      <c r="Q89" s="27">
        <f t="shared" si="0"/>
        <v>0</v>
      </c>
      <c r="R89" s="27">
        <f t="array" ref="R89">SUM(IF($E89:$N89&lt;TRANSPOSE($D$5:$D$14),1,"-"))+SUM(IF($E89:$N89&gt;TRANSPOSE($E$5:$E$14),1,"-"))</f>
        <v>0</v>
      </c>
      <c r="S89" s="27">
        <f t="array" ref="S89">SUM(IF(MMULT($E89:$N89,$C$18:$F$27)&lt;$C$31:$F$31,1,"-"))+SUM(IF(MMULT($E89:$N89,$C$18:$F$27)&gt;$C$32:$F$32,1,"-"))</f>
        <v>0</v>
      </c>
      <c r="T89" s="27">
        <f t="shared" si="1"/>
        <v>1</v>
      </c>
    </row>
    <row r="90" spans="2:20" x14ac:dyDescent="0.2">
      <c r="B90" s="20">
        <v>7.430173029413395E-2</v>
      </c>
      <c r="C90" s="21">
        <v>0.10014160298558357</v>
      </c>
      <c r="E90" s="20">
        <v>0.24048525531125164</v>
      </c>
      <c r="F90" s="25">
        <v>3.3375841046101032E-8</v>
      </c>
      <c r="G90" s="25">
        <v>4.7070101120790041E-8</v>
      </c>
      <c r="H90" s="25">
        <v>0.25951484507645789</v>
      </c>
      <c r="I90" s="25">
        <v>9.9999822323494053E-2</v>
      </c>
      <c r="J90" s="25">
        <v>0.2833768384858471</v>
      </c>
      <c r="K90" s="25">
        <v>4.4319937734064006E-9</v>
      </c>
      <c r="L90" s="25">
        <v>4.3459246150166565E-8</v>
      </c>
      <c r="M90" s="25">
        <v>0.11662266654117581</v>
      </c>
      <c r="N90" s="21">
        <v>4.4392459144419895E-7</v>
      </c>
      <c r="P90" s="27">
        <f t="array" ref="P90">SQRT(MMULT($E90:$N90,MMULT($G$5:$P$14,TRANSPOSE($E90:$N90))))-B90</f>
        <v>0</v>
      </c>
      <c r="Q90" s="27">
        <f t="shared" si="0"/>
        <v>0</v>
      </c>
      <c r="R90" s="27">
        <f t="array" ref="R90">SUM(IF($E90:$N90&lt;TRANSPOSE($D$5:$D$14),1,"-"))+SUM(IF($E90:$N90&gt;TRANSPOSE($E$5:$E$14),1,"-"))</f>
        <v>0</v>
      </c>
      <c r="S90" s="27">
        <f t="array" ref="S90">SUM(IF(MMULT($E90:$N90,$C$18:$F$27)&lt;$C$31:$F$31,1,"-"))+SUM(IF(MMULT($E90:$N90,$C$18:$F$27)&gt;$C$32:$F$32,1,"-"))</f>
        <v>0</v>
      </c>
      <c r="T90" s="27">
        <f t="shared" si="1"/>
        <v>1</v>
      </c>
    </row>
    <row r="91" spans="2:20" x14ac:dyDescent="0.2">
      <c r="B91" s="20">
        <v>7.4310303755801249E-2</v>
      </c>
      <c r="C91" s="21">
        <v>0.10033388945189718</v>
      </c>
      <c r="E91" s="20">
        <v>0.24116905777938685</v>
      </c>
      <c r="F91" s="25">
        <v>3.4267481315094128E-8</v>
      </c>
      <c r="G91" s="25">
        <v>4.833107284176347E-8</v>
      </c>
      <c r="H91" s="25">
        <v>0.25883104225297382</v>
      </c>
      <c r="I91" s="25">
        <v>9.9999820593257779E-2</v>
      </c>
      <c r="J91" s="25">
        <v>0.28568649723617745</v>
      </c>
      <c r="K91" s="25">
        <v>4.5272217191559886E-9</v>
      </c>
      <c r="L91" s="25">
        <v>4.4458957478257947E-8</v>
      </c>
      <c r="M91" s="25">
        <v>0.11431292484253412</v>
      </c>
      <c r="N91" s="21">
        <v>5.2571093645859208E-7</v>
      </c>
      <c r="P91" s="27">
        <f t="array" ref="P91">SQRT(MMULT($E91:$N91,MMULT($G$5:$P$14,TRANSPOSE($E91:$N91))))-B91</f>
        <v>0</v>
      </c>
      <c r="Q91" s="27">
        <f t="shared" si="0"/>
        <v>0</v>
      </c>
      <c r="R91" s="27">
        <f t="array" ref="R91">SUM(IF($E91:$N91&lt;TRANSPOSE($D$5:$D$14),1,"-"))+SUM(IF($E91:$N91&gt;TRANSPOSE($E$5:$E$14),1,"-"))</f>
        <v>0</v>
      </c>
      <c r="S91" s="27">
        <f t="array" ref="S91">SUM(IF(MMULT($E91:$N91,$C$18:$F$27)&lt;$C$31:$F$31,1,"-"))+SUM(IF(MMULT($E91:$N91,$C$18:$F$27)&gt;$C$32:$F$32,1,"-"))</f>
        <v>0</v>
      </c>
      <c r="T91" s="27">
        <f t="shared" si="1"/>
        <v>0.99999999999999978</v>
      </c>
    </row>
    <row r="92" spans="2:20" x14ac:dyDescent="0.2">
      <c r="B92" s="20">
        <v>7.431903953750453E-2</v>
      </c>
      <c r="C92" s="21">
        <v>0.10052617591821084</v>
      </c>
      <c r="E92" s="20">
        <v>0.24185284818486921</v>
      </c>
      <c r="F92" s="25">
        <v>3.5598563469714646E-8</v>
      </c>
      <c r="G92" s="25">
        <v>5.0214666291901215E-8</v>
      </c>
      <c r="H92" s="25">
        <v>0.25814725266397937</v>
      </c>
      <c r="I92" s="25">
        <v>9.9999816669513089E-2</v>
      </c>
      <c r="J92" s="25">
        <v>0.28799612313707529</v>
      </c>
      <c r="K92" s="25">
        <v>4.6791987065087076E-9</v>
      </c>
      <c r="L92" s="25">
        <v>4.6016055528002641E-8</v>
      </c>
      <c r="M92" s="25">
        <v>0.11200317936431337</v>
      </c>
      <c r="N92" s="21">
        <v>6.4347176568891776E-7</v>
      </c>
      <c r="P92" s="27">
        <f t="array" ref="P92">SQRT(MMULT($E92:$N92,MMULT($G$5:$P$14,TRANSPOSE($E92:$N92))))-B92</f>
        <v>0</v>
      </c>
      <c r="Q92" s="27">
        <f t="shared" si="0"/>
        <v>0</v>
      </c>
      <c r="R92" s="27">
        <f t="array" ref="R92">SUM(IF($E92:$N92&lt;TRANSPOSE($D$5:$D$14),1,"-"))+SUM(IF($E92:$N92&gt;TRANSPOSE($E$5:$E$14),1,"-"))</f>
        <v>0</v>
      </c>
      <c r="S92" s="27">
        <f t="array" ref="S92">SUM(IF(MMULT($E92:$N92,$C$18:$F$27)&lt;$C$31:$F$31,1,"-"))+SUM(IF(MMULT($E92:$N92,$C$18:$F$27)&gt;$C$32:$F$32,1,"-"))</f>
        <v>0</v>
      </c>
      <c r="T92" s="27">
        <f t="shared" si="1"/>
        <v>0.99999999999999989</v>
      </c>
    </row>
    <row r="93" spans="2:20" x14ac:dyDescent="0.2">
      <c r="B93" s="20">
        <v>7.4327937596317811E-2</v>
      </c>
      <c r="C93" s="21">
        <v>0.10071846238452446</v>
      </c>
      <c r="E93" s="20">
        <v>0.2425366187415165</v>
      </c>
      <c r="F93" s="25">
        <v>3.7472491945834431E-8</v>
      </c>
      <c r="G93" s="25">
        <v>5.2868370654146677E-8</v>
      </c>
      <c r="H93" s="25">
        <v>0.25746348428310578</v>
      </c>
      <c r="I93" s="25">
        <v>9.9999810122980412E-2</v>
      </c>
      <c r="J93" s="25">
        <v>0.29030569495724956</v>
      </c>
      <c r="K93" s="25">
        <v>4.9006839093825679E-9</v>
      </c>
      <c r="L93" s="25">
        <v>4.8256224687434282E-8</v>
      </c>
      <c r="M93" s="25">
        <v>0.10969342826851775</v>
      </c>
      <c r="N93" s="21">
        <v>8.2012885875763536E-7</v>
      </c>
      <c r="P93" s="27">
        <f t="array" ref="P93">SQRT(MMULT($E93:$N93,MMULT($G$5:$P$14,TRANSPOSE($E93:$N93))))-B93</f>
        <v>0</v>
      </c>
      <c r="Q93" s="27">
        <f t="shared" si="0"/>
        <v>0</v>
      </c>
      <c r="R93" s="27">
        <f t="array" ref="R93">SUM(IF($E93:$N93&lt;TRANSPOSE($D$5:$D$14),1,"-"))+SUM(IF($E93:$N93&gt;TRANSPOSE($E$5:$E$14),1,"-"))</f>
        <v>0</v>
      </c>
      <c r="S93" s="27">
        <f t="array" ref="S93">SUM(IF(MMULT($E93:$N93,$C$18:$F$27)&lt;$C$31:$F$31,1,"-"))+SUM(IF(MMULT($E93:$N93,$C$18:$F$27)&gt;$C$32:$F$32,1,"-"))</f>
        <v>0</v>
      </c>
      <c r="T93" s="27">
        <f t="shared" si="1"/>
        <v>0.99999999999999989</v>
      </c>
    </row>
    <row r="94" spans="2:20" x14ac:dyDescent="0.2">
      <c r="B94" s="20">
        <v>7.4336997896670809E-2</v>
      </c>
      <c r="C94" s="21">
        <v>0.10091074885083806</v>
      </c>
      <c r="E94" s="20">
        <v>0.2432203546004291</v>
      </c>
      <c r="F94" s="25">
        <v>4.0021361909336162E-8</v>
      </c>
      <c r="G94" s="25">
        <v>5.6480861312521104E-8</v>
      </c>
      <c r="H94" s="25">
        <v>0.25677975219803145</v>
      </c>
      <c r="I94" s="25">
        <v>9.9999800405661407E-2</v>
      </c>
      <c r="J94" s="25">
        <v>0.29261517223176914</v>
      </c>
      <c r="K94" s="25">
        <v>5.2079389736189957E-9</v>
      </c>
      <c r="L94" s="25">
        <v>5.1339608811589372E-8</v>
      </c>
      <c r="M94" s="25">
        <v>0.10738366821377705</v>
      </c>
      <c r="N94" s="21">
        <v>1.0993005607756894E-6</v>
      </c>
      <c r="P94" s="27">
        <f t="array" ref="P94">SQRT(MMULT($E94:$N94,MMULT($G$5:$P$14,TRANSPOSE($E94:$N94))))-B94</f>
        <v>0</v>
      </c>
      <c r="Q94" s="27">
        <f t="shared" si="0"/>
        <v>0</v>
      </c>
      <c r="R94" s="27">
        <f t="array" ref="R94">SUM(IF($E94:$N94&lt;TRANSPOSE($D$5:$D$14),1,"-"))+SUM(IF($E94:$N94&gt;TRANSPOSE($E$5:$E$14),1,"-"))</f>
        <v>0</v>
      </c>
      <c r="S94" s="27">
        <f t="array" ref="S94">SUM(IF(MMULT($E94:$N94,$C$18:$F$27)&lt;$C$31:$F$31,1,"-"))+SUM(IF(MMULT($E94:$N94,$C$18:$F$27)&gt;$C$32:$F$32,1,"-"))</f>
        <v>0</v>
      </c>
      <c r="T94" s="27">
        <f t="shared" si="1"/>
        <v>1</v>
      </c>
    </row>
    <row r="95" spans="2:20" x14ac:dyDescent="0.2">
      <c r="B95" s="20">
        <v>7.4346220417402992E-2</v>
      </c>
      <c r="C95" s="21">
        <v>0.10110303531715173</v>
      </c>
      <c r="E95" s="20">
        <v>0.24390402541203712</v>
      </c>
      <c r="F95" s="25">
        <v>4.3410714938943075E-8</v>
      </c>
      <c r="G95" s="25">
        <v>6.1288954414613845E-8</v>
      </c>
      <c r="H95" s="25">
        <v>0.25609608705244297</v>
      </c>
      <c r="I95" s="25">
        <v>9.999978683550044E-2</v>
      </c>
      <c r="J95" s="25">
        <v>0.29492447229030122</v>
      </c>
      <c r="K95" s="25">
        <v>5.6212634226706804E-9</v>
      </c>
      <c r="L95" s="25">
        <v>5.5466135841440017E-8</v>
      </c>
      <c r="M95" s="25">
        <v>0.10507389263535262</v>
      </c>
      <c r="N95" s="21">
        <v>1.5699872972561891E-6</v>
      </c>
      <c r="P95" s="27">
        <f t="array" ref="P95">SQRT(MMULT($E95:$N95,MMULT($G$5:$P$14,TRANSPOSE($E95:$N95))))-B95</f>
        <v>0</v>
      </c>
      <c r="Q95" s="27">
        <f t="shared" si="0"/>
        <v>0</v>
      </c>
      <c r="R95" s="27">
        <f t="array" ref="R95">SUM(IF($E95:$N95&lt;TRANSPOSE($D$5:$D$14),1,"-"))+SUM(IF($E95:$N95&gt;TRANSPOSE($E$5:$E$14),1,"-"))</f>
        <v>0</v>
      </c>
      <c r="S95" s="27">
        <f t="array" ref="S95">SUM(IF(MMULT($E95:$N95,$C$18:$F$27)&lt;$C$31:$F$31,1,"-"))+SUM(IF(MMULT($E95:$N95,$C$18:$F$27)&gt;$C$32:$F$32,1,"-"))</f>
        <v>0</v>
      </c>
      <c r="T95" s="27">
        <f t="shared" si="1"/>
        <v>1.0000000000000002</v>
      </c>
    </row>
    <row r="96" spans="2:20" x14ac:dyDescent="0.2">
      <c r="B96" s="20">
        <v>7.4355605166508409E-2</v>
      </c>
      <c r="C96" s="21">
        <v>0.10129532178346534</v>
      </c>
      <c r="E96" s="20">
        <v>0.24458756444501847</v>
      </c>
      <c r="F96" s="25">
        <v>4.7845033569517475E-8</v>
      </c>
      <c r="G96" s="25">
        <v>6.7585711379048281E-8</v>
      </c>
      <c r="H96" s="25">
        <v>0.25541255593215678</v>
      </c>
      <c r="I96" s="25">
        <v>9.9999768578183268E-2</v>
      </c>
      <c r="J96" s="25">
        <v>0.29723341342808046</v>
      </c>
      <c r="K96" s="25">
        <v>6.1656143638377174E-9</v>
      </c>
      <c r="L96" s="25">
        <v>6.0881611034271741E-8</v>
      </c>
      <c r="M96" s="25">
        <v>0.10276408749884829</v>
      </c>
      <c r="N96" s="21">
        <v>2.4276397423625782E-6</v>
      </c>
      <c r="P96" s="27">
        <f t="array" ref="P96">SQRT(MMULT($E96:$N96,MMULT($G$5:$P$14,TRANSPOSE($E96:$N96))))-B96</f>
        <v>0</v>
      </c>
      <c r="Q96" s="27">
        <f t="shared" si="0"/>
        <v>0</v>
      </c>
      <c r="R96" s="27">
        <f t="array" ref="R96">SUM(IF($E96:$N96&lt;TRANSPOSE($D$5:$D$14),1,"-"))+SUM(IF($E96:$N96&gt;TRANSPOSE($E$5:$E$14),1,"-"))</f>
        <v>0</v>
      </c>
      <c r="S96" s="27">
        <f t="array" ref="S96">SUM(IF(MMULT($E96:$N96,$C$18:$F$27)&lt;$C$31:$F$31,1,"-"))+SUM(IF(MMULT($E96:$N96,$C$18:$F$27)&gt;$C$32:$F$32,1,"-"))</f>
        <v>0</v>
      </c>
      <c r="T96" s="27">
        <f t="shared" si="1"/>
        <v>0.99999999999999989</v>
      </c>
    </row>
    <row r="97" spans="2:20" x14ac:dyDescent="0.2">
      <c r="B97" s="20">
        <v>7.4365182954318682E-2</v>
      </c>
      <c r="C97" s="21">
        <v>0.10148760824977893</v>
      </c>
      <c r="E97" s="20">
        <v>0.24525008683033253</v>
      </c>
      <c r="F97" s="25">
        <v>1.4406305293359073E-7</v>
      </c>
      <c r="G97" s="25">
        <v>1.76451658004197E-7</v>
      </c>
      <c r="H97" s="25">
        <v>0.25475003683117098</v>
      </c>
      <c r="I97" s="25">
        <v>9.9999566759170669E-2</v>
      </c>
      <c r="J97" s="25">
        <v>0.29948518433271032</v>
      </c>
      <c r="K97" s="25">
        <v>1.5676415568569891E-8</v>
      </c>
      <c r="L97" s="25">
        <v>2.2218272213011532E-7</v>
      </c>
      <c r="M97" s="25">
        <v>0.10044981532618248</v>
      </c>
      <c r="N97" s="21">
        <v>6.4751546584466128E-5</v>
      </c>
      <c r="P97" s="27">
        <f t="array" ref="P97">SQRT(MMULT($E97:$N97,MMULT($G$5:$P$14,TRANSPOSE($E97:$N97))))-B97</f>
        <v>0</v>
      </c>
      <c r="Q97" s="27">
        <f t="shared" si="0"/>
        <v>0</v>
      </c>
      <c r="R97" s="27">
        <f t="array" ref="R97">SUM(IF($E97:$N97&lt;TRANSPOSE($D$5:$D$14),1,"-"))+SUM(IF($E97:$N97&gt;TRANSPOSE($E$5:$E$14),1,"-"))</f>
        <v>0</v>
      </c>
      <c r="S97" s="27">
        <f t="array" ref="S97">SUM(IF(MMULT($E97:$N97,$C$18:$F$27)&lt;$C$31:$F$31,1,"-"))+SUM(IF(MMULT($E97:$N97,$C$18:$F$27)&gt;$C$32:$F$32,1,"-"))</f>
        <v>0</v>
      </c>
      <c r="T97" s="27">
        <f t="shared" si="1"/>
        <v>1</v>
      </c>
    </row>
    <row r="98" spans="2:20" x14ac:dyDescent="0.2">
      <c r="B98" s="20">
        <v>7.4374857131375247E-2</v>
      </c>
      <c r="C98" s="21">
        <v>0.10167989471609257</v>
      </c>
      <c r="E98" s="20">
        <v>0.24595552974934543</v>
      </c>
      <c r="F98" s="25">
        <v>1.8673005124318539E-8</v>
      </c>
      <c r="G98" s="25">
        <v>2.6342784361885013E-8</v>
      </c>
      <c r="H98" s="25">
        <v>0.25404451369655945</v>
      </c>
      <c r="I98" s="25">
        <v>9.9999913227357171E-2</v>
      </c>
      <c r="J98" s="25">
        <v>0.30185371414884626</v>
      </c>
      <c r="K98" s="25">
        <v>2.3758900379908709E-9</v>
      </c>
      <c r="L98" s="25">
        <v>2.3704002008554324E-8</v>
      </c>
      <c r="M98" s="25">
        <v>9.8144767722368659E-2</v>
      </c>
      <c r="N98" s="21">
        <v>1.4903598416047287E-6</v>
      </c>
      <c r="P98" s="27">
        <f t="array" ref="P98">SQRT(MMULT($E98:$N98,MMULT($G$5:$P$14,TRANSPOSE($E98:$N98))))-B98</f>
        <v>0</v>
      </c>
      <c r="Q98" s="27">
        <f t="shared" si="0"/>
        <v>0</v>
      </c>
      <c r="R98" s="27">
        <f t="array" ref="R98">SUM(IF($E98:$N98&lt;TRANSPOSE($D$5:$D$14),1,"-"))+SUM(IF($E98:$N98&gt;TRANSPOSE($E$5:$E$14),1,"-"))</f>
        <v>0</v>
      </c>
      <c r="S98" s="27">
        <f t="array" ref="S98">SUM(IF(MMULT($E98:$N98,$C$18:$F$27)&lt;$C$31:$F$31,1,"-"))+SUM(IF(MMULT($E98:$N98,$C$18:$F$27)&gt;$C$32:$F$32,1,"-"))</f>
        <v>0</v>
      </c>
      <c r="T98" s="27">
        <f t="shared" si="1"/>
        <v>1.0000000000000002</v>
      </c>
    </row>
    <row r="99" spans="2:20" x14ac:dyDescent="0.2">
      <c r="B99" s="20">
        <v>7.4384750091071261E-2</v>
      </c>
      <c r="C99" s="21">
        <v>0.10187218118240618</v>
      </c>
      <c r="E99" s="20">
        <v>0.24661508896058293</v>
      </c>
      <c r="F99" s="25">
        <v>6.8155633204551797E-8</v>
      </c>
      <c r="G99" s="25">
        <v>8.6621739693949489E-8</v>
      </c>
      <c r="H99" s="25">
        <v>0.25338499899242989</v>
      </c>
      <c r="I99" s="25">
        <v>9.9999762680703236E-2</v>
      </c>
      <c r="J99" s="25">
        <v>0.30409740937194746</v>
      </c>
      <c r="K99" s="25">
        <v>7.7184891085050119E-9</v>
      </c>
      <c r="L99" s="25">
        <v>9.6004678172048447E-8</v>
      </c>
      <c r="M99" s="25">
        <v>9.5829989593276071E-2</v>
      </c>
      <c r="N99" s="21">
        <v>7.2491900520091338E-5</v>
      </c>
      <c r="P99" s="27">
        <f t="array" ref="P99">SQRT(MMULT($E99:$N99,MMULT($G$5:$P$14,TRANSPOSE($E99:$N99))))-B99</f>
        <v>0</v>
      </c>
      <c r="Q99" s="27">
        <f t="shared" si="0"/>
        <v>0</v>
      </c>
      <c r="R99" s="27">
        <f t="array" ref="R99">SUM(IF($E99:$N99&lt;TRANSPOSE($D$5:$D$14),1,"-"))+SUM(IF($E99:$N99&gt;TRANSPOSE($E$5:$E$14),1,"-"))</f>
        <v>0</v>
      </c>
      <c r="S99" s="27">
        <f t="array" ref="S99">SUM(IF(MMULT($E99:$N99,$C$18:$F$27)&lt;$C$31:$F$31,1,"-"))+SUM(IF(MMULT($E99:$N99,$C$18:$F$27)&gt;$C$32:$F$32,1,"-"))</f>
        <v>0</v>
      </c>
      <c r="T99" s="27">
        <f t="shared" si="1"/>
        <v>0.99999999999999967</v>
      </c>
    </row>
    <row r="100" spans="2:20" x14ac:dyDescent="0.2">
      <c r="B100" s="20">
        <v>7.4394776147785655E-2</v>
      </c>
      <c r="C100" s="21">
        <v>0.10206446764871982</v>
      </c>
      <c r="E100" s="20">
        <v>0.24729687639859715</v>
      </c>
      <c r="F100" s="25">
        <v>3.7209870857608602E-8</v>
      </c>
      <c r="G100" s="25">
        <v>4.6326458380088897E-8</v>
      </c>
      <c r="H100" s="25">
        <v>0.25270316309637719</v>
      </c>
      <c r="I100" s="25">
        <v>9.9999879836214181E-2</v>
      </c>
      <c r="J100" s="25">
        <v>0.30640158172435517</v>
      </c>
      <c r="K100" s="25">
        <v>4.1022927013031924E-9</v>
      </c>
      <c r="L100" s="25">
        <v>5.3132980488332563E-8</v>
      </c>
      <c r="M100" s="25">
        <v>9.3519921984487456E-2</v>
      </c>
      <c r="N100" s="21">
        <v>7.8436188366467382E-5</v>
      </c>
      <c r="P100" s="27">
        <f t="array" ref="P100">SQRT(MMULT($E100:$N100,MMULT($G$5:$P$14,TRANSPOSE($E100:$N100))))-B100</f>
        <v>0</v>
      </c>
      <c r="Q100" s="27">
        <f t="shared" ref="Q100:Q138" si="2">MMULT($E100:$N100,$B$5:$B$14)-C100</f>
        <v>0</v>
      </c>
      <c r="R100" s="27">
        <f t="array" ref="R100">SUM(IF($E100:$N100&lt;TRANSPOSE($D$5:$D$14),1,"-"))+SUM(IF($E100:$N100&gt;TRANSPOSE($E$5:$E$14),1,"-"))</f>
        <v>0</v>
      </c>
      <c r="S100" s="27">
        <f t="array" ref="S100">SUM(IF(MMULT($E100:$N100,$C$18:$F$27)&lt;$C$31:$F$31,1,"-"))+SUM(IF(MMULT($E100:$N100,$C$18:$F$27)&gt;$C$32:$F$32,1,"-"))</f>
        <v>0</v>
      </c>
      <c r="T100" s="27">
        <f t="shared" ref="T100:T138" si="3">SUM(E100:N100)</f>
        <v>1</v>
      </c>
    </row>
    <row r="101" spans="2:20" x14ac:dyDescent="0.2">
      <c r="B101" s="20">
        <v>7.4404956277918363E-2</v>
      </c>
      <c r="C101" s="21">
        <v>0.10225675411503347</v>
      </c>
      <c r="E101" s="20">
        <v>0.24799425817191059</v>
      </c>
      <c r="F101" s="25">
        <v>9.363668155407008E-10</v>
      </c>
      <c r="G101" s="25">
        <v>1.0721505613737988E-9</v>
      </c>
      <c r="H101" s="25">
        <v>0.25200574227474803</v>
      </c>
      <c r="I101" s="25">
        <v>9.9999997609949792E-2</v>
      </c>
      <c r="J101" s="25">
        <v>0.30874819083337329</v>
      </c>
      <c r="K101" s="25">
        <v>9.414187063722279E-11</v>
      </c>
      <c r="L101" s="25">
        <v>1.4449027478033757E-9</v>
      </c>
      <c r="M101" s="25">
        <v>9.1213024973362741E-2</v>
      </c>
      <c r="N101" s="21">
        <v>3.8782589093612401E-5</v>
      </c>
      <c r="P101" s="27">
        <f t="array" ref="P101">SQRT(MMULT($E101:$N101,MMULT($G$5:$P$14,TRANSPOSE($E101:$N101))))-B101</f>
        <v>0</v>
      </c>
      <c r="Q101" s="27">
        <f t="shared" si="2"/>
        <v>0</v>
      </c>
      <c r="R101" s="27">
        <f t="array" ref="R101">SUM(IF($E101:$N101&lt;TRANSPOSE($D$5:$D$14),1,"-"))+SUM(IF($E101:$N101&gt;TRANSPOSE($E$5:$E$14),1,"-"))</f>
        <v>0</v>
      </c>
      <c r="S101" s="27">
        <f t="array" ref="S101">SUM(IF(MMULT($E101:$N101,$C$18:$F$27)&lt;$C$31:$F$31,1,"-"))+SUM(IF(MMULT($E101:$N101,$C$18:$F$27)&gt;$C$32:$F$32,1,"-"))</f>
        <v>0</v>
      </c>
      <c r="T101" s="27">
        <f t="shared" si="3"/>
        <v>1</v>
      </c>
    </row>
    <row r="102" spans="2:20" x14ac:dyDescent="0.2">
      <c r="B102" s="20">
        <v>7.4415317696607738E-2</v>
      </c>
      <c r="C102" s="21">
        <v>0.10244904058134707</v>
      </c>
      <c r="E102" s="20">
        <v>0.24863454283067651</v>
      </c>
      <c r="F102" s="25">
        <v>1.0966975954122547E-9</v>
      </c>
      <c r="G102" s="25">
        <v>1.2163392384360069E-9</v>
      </c>
      <c r="H102" s="25">
        <v>0.25136545747270345</v>
      </c>
      <c r="I102" s="25">
        <v>9.9999997456681186E-2</v>
      </c>
      <c r="J102" s="25">
        <v>0.31093941826198823</v>
      </c>
      <c r="K102" s="25">
        <v>1.0609327705689385E-10</v>
      </c>
      <c r="L102" s="25">
        <v>1.7335388499102584E-9</v>
      </c>
      <c r="M102" s="25">
        <v>8.889445630768969E-2</v>
      </c>
      <c r="N102" s="21">
        <v>1.6612351759201323E-4</v>
      </c>
      <c r="P102" s="27">
        <f t="array" ref="P102">SQRT(MMULT($E102:$N102,MMULT($G$5:$P$14,TRANSPOSE($E102:$N102))))-B102</f>
        <v>0</v>
      </c>
      <c r="Q102" s="27">
        <f t="shared" si="2"/>
        <v>0</v>
      </c>
      <c r="R102" s="27">
        <f t="array" ref="R102">SUM(IF($E102:$N102&lt;TRANSPOSE($D$5:$D$14),1,"-"))+SUM(IF($E102:$N102&gt;TRANSPOSE($E$5:$E$14),1,"-"))</f>
        <v>0</v>
      </c>
      <c r="S102" s="27">
        <f t="array" ref="S102">SUM(IF(MMULT($E102:$N102,$C$18:$F$27)&lt;$C$31:$F$31,1,"-"))+SUM(IF(MMULT($E102:$N102,$C$18:$F$27)&gt;$C$32:$F$32,1,"-"))</f>
        <v>0</v>
      </c>
      <c r="T102" s="27">
        <f t="shared" si="3"/>
        <v>1</v>
      </c>
    </row>
    <row r="103" spans="2:20" x14ac:dyDescent="0.2">
      <c r="B103" s="20">
        <v>7.4425827967703931E-2</v>
      </c>
      <c r="C103" s="21">
        <v>0.1026413270476607</v>
      </c>
      <c r="E103" s="20">
        <v>0.24918874146938652</v>
      </c>
      <c r="F103" s="25">
        <v>1.1595404117007239E-9</v>
      </c>
      <c r="G103" s="25">
        <v>1.2759982480764237E-9</v>
      </c>
      <c r="H103" s="25">
        <v>0.25081125877703542</v>
      </c>
      <c r="I103" s="25">
        <v>9.9999997394180903E-2</v>
      </c>
      <c r="J103" s="25">
        <v>0.31289636517883607</v>
      </c>
      <c r="K103" s="25">
        <v>1.1063423161136691E-10</v>
      </c>
      <c r="L103" s="25">
        <v>1.8345059097327848E-9</v>
      </c>
      <c r="M103" s="25">
        <v>8.6558425035093423E-2</v>
      </c>
      <c r="N103" s="21">
        <v>5.4520776478894444E-4</v>
      </c>
      <c r="P103" s="27">
        <f t="array" ref="P103">SQRT(MMULT($E103:$N103,MMULT($G$5:$P$14,TRANSPOSE($E103:$N103))))-B103</f>
        <v>0</v>
      </c>
      <c r="Q103" s="27">
        <f t="shared" si="2"/>
        <v>0</v>
      </c>
      <c r="R103" s="27">
        <f t="array" ref="R103">SUM(IF($E103:$N103&lt;TRANSPOSE($D$5:$D$14),1,"-"))+SUM(IF($E103:$N103&gt;TRANSPOSE($E$5:$E$14),1,"-"))</f>
        <v>0</v>
      </c>
      <c r="S103" s="27">
        <f t="array" ref="S103">SUM(IF(MMULT($E103:$N103,$C$18:$F$27)&lt;$C$31:$F$31,1,"-"))+SUM(IF(MMULT($E103:$N103,$C$18:$F$27)&gt;$C$32:$F$32,1,"-"))</f>
        <v>0</v>
      </c>
      <c r="T103" s="27">
        <f t="shared" si="3"/>
        <v>1</v>
      </c>
    </row>
    <row r="104" spans="2:20" x14ac:dyDescent="0.2">
      <c r="B104" s="20">
        <v>7.4436452088269892E-2</v>
      </c>
      <c r="C104" s="21">
        <v>0.10283361351397433</v>
      </c>
      <c r="E104" s="20">
        <v>0.24962938067168128</v>
      </c>
      <c r="F104" s="25">
        <v>1.0505457619786261E-9</v>
      </c>
      <c r="G104" s="25">
        <v>1.1793785781095385E-9</v>
      </c>
      <c r="H104" s="25">
        <v>0.25037061962106205</v>
      </c>
      <c r="I104" s="25">
        <v>9.9999997547495403E-2</v>
      </c>
      <c r="J104" s="25">
        <v>0.31454426340865238</v>
      </c>
      <c r="K104" s="25">
        <v>1.0173124178843142E-10</v>
      </c>
      <c r="L104" s="25">
        <v>1.6202379061120298E-9</v>
      </c>
      <c r="M104" s="25">
        <v>8.4199358259745408E-2</v>
      </c>
      <c r="N104" s="21">
        <v>1.2563765394700958E-3</v>
      </c>
      <c r="P104" s="27">
        <f t="array" ref="P104">SQRT(MMULT($E104:$N104,MMULT($G$5:$P$14,TRANSPOSE($E104:$N104))))-B104</f>
        <v>0</v>
      </c>
      <c r="Q104" s="27">
        <f t="shared" si="2"/>
        <v>0</v>
      </c>
      <c r="R104" s="27">
        <f t="array" ref="R104">SUM(IF($E104:$N104&lt;TRANSPOSE($D$5:$D$14),1,"-"))+SUM(IF($E104:$N104&gt;TRANSPOSE($E$5:$E$14),1,"-"))</f>
        <v>0</v>
      </c>
      <c r="S104" s="27">
        <f t="array" ref="S104">SUM(IF(MMULT($E104:$N104,$C$18:$F$27)&lt;$C$31:$F$31,1,"-"))+SUM(IF(MMULT($E104:$N104,$C$18:$F$27)&gt;$C$32:$F$32,1,"-"))</f>
        <v>0</v>
      </c>
      <c r="T104" s="27">
        <f t="shared" si="3"/>
        <v>1.0000000000000002</v>
      </c>
    </row>
    <row r="105" spans="2:20" x14ac:dyDescent="0.2">
      <c r="B105" s="20">
        <v>7.4447169740846655E-2</v>
      </c>
      <c r="C105" s="21">
        <v>0.10302589998028795</v>
      </c>
      <c r="E105" s="20">
        <v>0.24996304466261721</v>
      </c>
      <c r="F105" s="25">
        <v>3.8797076219758434E-8</v>
      </c>
      <c r="G105" s="25">
        <v>4.8123435447714666E-8</v>
      </c>
      <c r="H105" s="25">
        <v>0.25003698654163053</v>
      </c>
      <c r="I105" s="25">
        <v>9.9999884765155686E-2</v>
      </c>
      <c r="J105" s="25">
        <v>0.31590103445056561</v>
      </c>
      <c r="K105" s="25">
        <v>4.1420206519538518E-9</v>
      </c>
      <c r="L105" s="25">
        <v>5.406253291848039E-8</v>
      </c>
      <c r="M105" s="25">
        <v>8.1818505236365205E-2</v>
      </c>
      <c r="N105" s="21">
        <v>2.2803992186003629E-3</v>
      </c>
      <c r="P105" s="27">
        <f t="array" ref="P105">SQRT(MMULT($E105:$N105,MMULT($G$5:$P$14,TRANSPOSE($E105:$N105))))-B105</f>
        <v>0</v>
      </c>
      <c r="Q105" s="27">
        <f t="shared" si="2"/>
        <v>0</v>
      </c>
      <c r="R105" s="27">
        <f t="array" ref="R105">SUM(IF($E105:$N105&lt;TRANSPOSE($D$5:$D$14),1,"-"))+SUM(IF($E105:$N105&gt;TRANSPOSE($E$5:$E$14),1,"-"))</f>
        <v>0</v>
      </c>
      <c r="S105" s="27">
        <f t="array" ref="S105">SUM(IF(MMULT($E105:$N105,$C$18:$F$27)&lt;$C$31:$F$31,1,"-"))+SUM(IF(MMULT($E105:$N105,$C$18:$F$27)&gt;$C$32:$F$32,1,"-"))</f>
        <v>0</v>
      </c>
      <c r="T105" s="27">
        <f t="shared" si="3"/>
        <v>0.99999999999999978</v>
      </c>
    </row>
    <row r="106" spans="2:20" x14ac:dyDescent="0.2">
      <c r="B106" s="20">
        <v>7.445797079140859E-2</v>
      </c>
      <c r="C106" s="21">
        <v>0.10321818644660154</v>
      </c>
      <c r="E106" s="20">
        <v>0.25032854031590612</v>
      </c>
      <c r="F106" s="25">
        <v>3.5674960869316459E-8</v>
      </c>
      <c r="G106" s="25">
        <v>4.535855506057884E-8</v>
      </c>
      <c r="H106" s="25">
        <v>0.24967149355471832</v>
      </c>
      <c r="I106" s="25">
        <v>9.9999887814762337E-2</v>
      </c>
      <c r="J106" s="25">
        <v>0.31734442829355125</v>
      </c>
      <c r="K106" s="25">
        <v>3.8855748526905358E-9</v>
      </c>
      <c r="L106" s="25">
        <v>4.8421523809478661E-8</v>
      </c>
      <c r="M106" s="25">
        <v>7.9444201568968795E-2</v>
      </c>
      <c r="N106" s="21">
        <v>3.211315111478436E-3</v>
      </c>
      <c r="P106" s="27">
        <f t="array" ref="P106">SQRT(MMULT($E106:$N106,MMULT($G$5:$P$14,TRANSPOSE($E106:$N106))))-B106</f>
        <v>0</v>
      </c>
      <c r="Q106" s="27">
        <f t="shared" si="2"/>
        <v>0</v>
      </c>
      <c r="R106" s="27">
        <f t="array" ref="R106">SUM(IF($E106:$N106&lt;TRANSPOSE($D$5:$D$14),1,"-"))+SUM(IF($E106:$N106&gt;TRANSPOSE($E$5:$E$14),1,"-"))</f>
        <v>0</v>
      </c>
      <c r="S106" s="27">
        <f t="array" ref="S106">SUM(IF(MMULT($E106:$N106,$C$18:$F$27)&lt;$C$31:$F$31,1,"-"))+SUM(IF(MMULT($E106:$N106,$C$18:$F$27)&gt;$C$32:$F$32,1,"-"))</f>
        <v>0</v>
      </c>
      <c r="T106" s="27">
        <f t="shared" si="3"/>
        <v>0.99999999999999989</v>
      </c>
    </row>
    <row r="107" spans="2:20" x14ac:dyDescent="0.2">
      <c r="B107" s="20">
        <v>7.4468859767382614E-2</v>
      </c>
      <c r="C107" s="21">
        <v>0.10341047291291519</v>
      </c>
      <c r="E107" s="20">
        <v>0.25067151134020155</v>
      </c>
      <c r="F107" s="25">
        <v>6.4497365600158391E-8</v>
      </c>
      <c r="G107" s="25">
        <v>8.4166903899478111E-8</v>
      </c>
      <c r="H107" s="25">
        <v>0.24932855988228692</v>
      </c>
      <c r="I107" s="25">
        <v>9.9999785149781167E-2</v>
      </c>
      <c r="J107" s="25">
        <v>0.31872651829777721</v>
      </c>
      <c r="K107" s="25">
        <v>7.1762159984062432E-9</v>
      </c>
      <c r="L107" s="25">
        <v>8.5160361460653484E-8</v>
      </c>
      <c r="M107" s="25">
        <v>7.7065255041484038E-2</v>
      </c>
      <c r="N107" s="21">
        <v>4.2081292876222087E-3</v>
      </c>
      <c r="P107" s="27">
        <f t="array" ref="P107">SQRT(MMULT($E107:$N107,MMULT($G$5:$P$14,TRANSPOSE($E107:$N107))))-B107</f>
        <v>0</v>
      </c>
      <c r="Q107" s="27">
        <f t="shared" si="2"/>
        <v>0</v>
      </c>
      <c r="R107" s="27">
        <f t="array" ref="R107">SUM(IF($E107:$N107&lt;TRANSPOSE($D$5:$D$14),1,"-"))+SUM(IF($E107:$N107&gt;TRANSPOSE($E$5:$E$14),1,"-"))</f>
        <v>0</v>
      </c>
      <c r="S107" s="27">
        <f t="array" ref="S107">SUM(IF(MMULT($E107:$N107,$C$18:$F$27)&lt;$C$31:$F$31,1,"-"))+SUM(IF(MMULT($E107:$N107,$C$18:$F$27)&gt;$C$32:$F$32,1,"-"))</f>
        <v>0</v>
      </c>
      <c r="T107" s="27">
        <f t="shared" si="3"/>
        <v>0.99999999999999978</v>
      </c>
    </row>
    <row r="108" spans="2:20" x14ac:dyDescent="0.2">
      <c r="B108" s="20">
        <v>7.4479832942420082E-2</v>
      </c>
      <c r="C108" s="21">
        <v>0.1036027593792288</v>
      </c>
      <c r="E108" s="20">
        <v>0.25102210124374436</v>
      </c>
      <c r="F108" s="25">
        <v>5.8950497935966462E-8</v>
      </c>
      <c r="G108" s="25">
        <v>7.8818809804297046E-8</v>
      </c>
      <c r="H108" s="25">
        <v>0.24897797217268725</v>
      </c>
      <c r="I108" s="25">
        <v>9.9999793520959779E-2</v>
      </c>
      <c r="J108" s="25">
        <v>0.32012934477301375</v>
      </c>
      <c r="K108" s="25">
        <v>6.6882285090928699E-9</v>
      </c>
      <c r="L108" s="25">
        <v>7.58236156723234E-8</v>
      </c>
      <c r="M108" s="25">
        <v>7.4687933064046155E-2</v>
      </c>
      <c r="N108" s="21">
        <v>5.1826349443967615E-3</v>
      </c>
      <c r="P108" s="27">
        <f t="array" ref="P108">SQRT(MMULT($E108:$N108,MMULT($G$5:$P$14,TRANSPOSE($E108:$N108))))-B108</f>
        <v>0</v>
      </c>
      <c r="Q108" s="27">
        <f t="shared" si="2"/>
        <v>0</v>
      </c>
      <c r="R108" s="27">
        <f t="array" ref="R108">SUM(IF($E108:$N108&lt;TRANSPOSE($D$5:$D$14),1,"-"))+SUM(IF($E108:$N108&gt;TRANSPOSE($E$5:$E$14),1,"-"))</f>
        <v>0</v>
      </c>
      <c r="S108" s="27">
        <f t="array" ref="S108">SUM(IF(MMULT($E108:$N108,$C$18:$F$27)&lt;$C$31:$F$31,1,"-"))+SUM(IF(MMULT($E108:$N108,$C$18:$F$27)&gt;$C$32:$F$32,1,"-"))</f>
        <v>0</v>
      </c>
      <c r="T108" s="27">
        <f t="shared" si="3"/>
        <v>1.0000000000000002</v>
      </c>
    </row>
    <row r="109" spans="2:20" x14ac:dyDescent="0.2">
      <c r="B109" s="20">
        <v>7.449088953711723E-2</v>
      </c>
      <c r="C109" s="21">
        <v>0.10379504584554244</v>
      </c>
      <c r="E109" s="20">
        <v>0.25137162635477506</v>
      </c>
      <c r="F109" s="25">
        <v>3.3614781597637844E-9</v>
      </c>
      <c r="G109" s="25">
        <v>4.7752782690270359E-9</v>
      </c>
      <c r="H109" s="25">
        <v>0.24862837914206523</v>
      </c>
      <c r="I109" s="25">
        <v>9.9999986651525638E-2</v>
      </c>
      <c r="J109" s="25">
        <v>0.32152929101438732</v>
      </c>
      <c r="K109" s="25">
        <v>4.0249742857880763E-10</v>
      </c>
      <c r="L109" s="25">
        <v>4.1099136133606062E-9</v>
      </c>
      <c r="M109" s="25">
        <v>7.2310512094477419E-2</v>
      </c>
      <c r="N109" s="21">
        <v>6.1601920936019241E-3</v>
      </c>
      <c r="P109" s="27">
        <f t="array" ref="P109">SQRT(MMULT($E109:$N109,MMULT($G$5:$P$14,TRANSPOSE($E109:$N109))))-B109</f>
        <v>0</v>
      </c>
      <c r="Q109" s="27">
        <f t="shared" si="2"/>
        <v>0</v>
      </c>
      <c r="R109" s="27">
        <f t="array" ref="R109">SUM(IF($E109:$N109&lt;TRANSPOSE($D$5:$D$14),1,"-"))+SUM(IF($E109:$N109&gt;TRANSPOSE($E$5:$E$14),1,"-"))</f>
        <v>0</v>
      </c>
      <c r="S109" s="27">
        <f t="array" ref="S109">SUM(IF(MMULT($E109:$N109,$C$18:$F$27)&lt;$C$31:$F$31,1,"-"))+SUM(IF(MMULT($E109:$N109,$C$18:$F$27)&gt;$C$32:$F$32,1,"-"))</f>
        <v>0</v>
      </c>
      <c r="T109" s="27">
        <f t="shared" si="3"/>
        <v>1</v>
      </c>
    </row>
    <row r="110" spans="2:20" x14ac:dyDescent="0.2">
      <c r="B110" s="20">
        <v>7.4502034644651965E-2</v>
      </c>
      <c r="C110" s="21">
        <v>0.10398733231185604</v>
      </c>
      <c r="E110" s="20">
        <v>0.25171256480674892</v>
      </c>
      <c r="F110" s="25">
        <v>3.2860829344017687E-9</v>
      </c>
      <c r="G110" s="25">
        <v>4.7152055052252301E-9</v>
      </c>
      <c r="H110" s="25">
        <v>0.24828744064576966</v>
      </c>
      <c r="I110" s="25">
        <v>9.9999986826429424E-2</v>
      </c>
      <c r="J110" s="25">
        <v>0.32290585666734256</v>
      </c>
      <c r="K110" s="25">
        <v>3.9527329060452458E-10</v>
      </c>
      <c r="L110" s="25">
        <v>3.9631024371049475E-9</v>
      </c>
      <c r="M110" s="25">
        <v>6.9931220682244027E-2</v>
      </c>
      <c r="N110" s="21">
        <v>7.1629180118011841E-3</v>
      </c>
      <c r="P110" s="27">
        <f t="array" ref="P110">SQRT(MMULT($E110:$N110,MMULT($G$5:$P$14,TRANSPOSE($E110:$N110))))-B110</f>
        <v>0</v>
      </c>
      <c r="Q110" s="27">
        <f t="shared" si="2"/>
        <v>0</v>
      </c>
      <c r="R110" s="27">
        <f t="array" ref="R110">SUM(IF($E110:$N110&lt;TRANSPOSE($D$5:$D$14),1,"-"))+SUM(IF($E110:$N110&gt;TRANSPOSE($E$5:$E$14),1,"-"))</f>
        <v>0</v>
      </c>
      <c r="S110" s="27">
        <f t="array" ref="S110">SUM(IF(MMULT($E110:$N110,$C$18:$F$27)&lt;$C$31:$F$31,1,"-"))+SUM(IF(MMULT($E110:$N110,$C$18:$F$27)&gt;$C$32:$F$32,1,"-"))</f>
        <v>0</v>
      </c>
      <c r="T110" s="27">
        <f t="shared" si="3"/>
        <v>0.99999999999999978</v>
      </c>
    </row>
    <row r="111" spans="2:20" x14ac:dyDescent="0.2">
      <c r="B111" s="20">
        <v>7.4513270418346628E-2</v>
      </c>
      <c r="C111" s="21">
        <v>0.10417961877816967</v>
      </c>
      <c r="E111" s="20">
        <v>0.25205191904104746</v>
      </c>
      <c r="F111" s="25">
        <v>9.7344548024914512E-8</v>
      </c>
      <c r="G111" s="25">
        <v>1.4232254491899179E-7</v>
      </c>
      <c r="H111" s="25">
        <v>0.24794825318695929</v>
      </c>
      <c r="I111" s="25">
        <v>9.9999596580606115E-2</v>
      </c>
      <c r="J111" s="25">
        <v>0.32427804846737507</v>
      </c>
      <c r="K111" s="25">
        <v>1.1922050800514815E-8</v>
      </c>
      <c r="L111" s="25">
        <v>1.1372892554539565E-7</v>
      </c>
      <c r="M111" s="25">
        <v>6.7551383059249293E-2</v>
      </c>
      <c r="N111" s="21">
        <v>8.1704343466936519E-3</v>
      </c>
      <c r="P111" s="27">
        <f t="array" ref="P111">SQRT(MMULT($E111:$N111,MMULT($G$5:$P$14,TRANSPOSE($E111:$N111))))-B111</f>
        <v>0</v>
      </c>
      <c r="Q111" s="27">
        <f t="shared" si="2"/>
        <v>0</v>
      </c>
      <c r="R111" s="27">
        <f t="array" ref="R111">SUM(IF($E111:$N111&lt;TRANSPOSE($D$5:$D$14),1,"-"))+SUM(IF($E111:$N111&gt;TRANSPOSE($E$5:$E$14),1,"-"))</f>
        <v>0</v>
      </c>
      <c r="S111" s="27">
        <f t="array" ref="S111">SUM(IF(MMULT($E111:$N111,$C$18:$F$27)&lt;$C$31:$F$31,1,"-"))+SUM(IF(MMULT($E111:$N111,$C$18:$F$27)&gt;$C$32:$F$32,1,"-"))</f>
        <v>0</v>
      </c>
      <c r="T111" s="27">
        <f t="shared" si="3"/>
        <v>1.0000000000000002</v>
      </c>
    </row>
    <row r="112" spans="2:20" x14ac:dyDescent="0.2">
      <c r="B112" s="20">
        <v>7.4524586394673839E-2</v>
      </c>
      <c r="C112" s="21">
        <v>0.1043719052444833</v>
      </c>
      <c r="E112" s="20">
        <v>0.2523934372555578</v>
      </c>
      <c r="F112" s="25">
        <v>8.552706236914962E-8</v>
      </c>
      <c r="G112" s="25">
        <v>1.2559051810257834E-7</v>
      </c>
      <c r="H112" s="25">
        <v>0.2476067116059992</v>
      </c>
      <c r="I112" s="25">
        <v>9.9999647457661961E-2</v>
      </c>
      <c r="J112" s="25">
        <v>0.32565619497720416</v>
      </c>
      <c r="K112" s="25">
        <v>1.045936437197789E-8</v>
      </c>
      <c r="L112" s="25">
        <v>9.9147466028500055E-8</v>
      </c>
      <c r="M112" s="25">
        <v>6.517224000854023E-2</v>
      </c>
      <c r="N112" s="21">
        <v>9.1714479706256746E-3</v>
      </c>
      <c r="P112" s="27">
        <f t="array" ref="P112">SQRT(MMULT($E112:$N112,MMULT($G$5:$P$14,TRANSPOSE($E112:$N112))))-B112</f>
        <v>0</v>
      </c>
      <c r="Q112" s="27">
        <f t="shared" si="2"/>
        <v>0</v>
      </c>
      <c r="R112" s="27">
        <f t="array" ref="R112">SUM(IF($E112:$N112&lt;TRANSPOSE($D$5:$D$14),1,"-"))+SUM(IF($E112:$N112&gt;TRANSPOSE($E$5:$E$14),1,"-"))</f>
        <v>0</v>
      </c>
      <c r="S112" s="27">
        <f t="array" ref="S112">SUM(IF(MMULT($E112:$N112,$C$18:$F$27)&lt;$C$31:$F$31,1,"-"))+SUM(IF(MMULT($E112:$N112,$C$18:$F$27)&gt;$C$32:$F$32,1,"-"))</f>
        <v>0</v>
      </c>
      <c r="T112" s="27">
        <f t="shared" si="3"/>
        <v>0.99999999999999989</v>
      </c>
    </row>
    <row r="113" spans="2:20" x14ac:dyDescent="0.2">
      <c r="B113" s="20">
        <v>7.4535988164057612E-2</v>
      </c>
      <c r="C113" s="21">
        <v>0.10456419171079695</v>
      </c>
      <c r="E113" s="20">
        <v>0.25273468628545914</v>
      </c>
      <c r="F113" s="25">
        <v>7.5757518429879141E-8</v>
      </c>
      <c r="G113" s="25">
        <v>1.1174354468633225E-7</v>
      </c>
      <c r="H113" s="25">
        <v>0.24726544352259583</v>
      </c>
      <c r="I113" s="25">
        <v>9.9999689270267256E-2</v>
      </c>
      <c r="J113" s="25">
        <v>0.32703360843600615</v>
      </c>
      <c r="K113" s="25">
        <v>9.2521427474754207E-9</v>
      </c>
      <c r="L113" s="25">
        <v>8.7142235337866281E-8</v>
      </c>
      <c r="M113" s="25">
        <v>6.2793036786573497E-2</v>
      </c>
      <c r="N113" s="21">
        <v>1.0173251803657038E-2</v>
      </c>
      <c r="P113" s="27">
        <f t="array" ref="P113">SQRT(MMULT($E113:$N113,MMULT($G$5:$P$14,TRANSPOSE($E113:$N113))))-B113</f>
        <v>0</v>
      </c>
      <c r="Q113" s="27">
        <f t="shared" si="2"/>
        <v>0</v>
      </c>
      <c r="R113" s="27">
        <f t="array" ref="R113">SUM(IF($E113:$N113&lt;TRANSPOSE($D$5:$D$14),1,"-"))+SUM(IF($E113:$N113&gt;TRANSPOSE($E$5:$E$14),1,"-"))</f>
        <v>0</v>
      </c>
      <c r="S113" s="27">
        <f t="array" ref="S113">SUM(IF(MMULT($E113:$N113,$C$18:$F$27)&lt;$C$31:$F$31,1,"-"))+SUM(IF(MMULT($E113:$N113,$C$18:$F$27)&gt;$C$32:$F$32,1,"-"))</f>
        <v>0</v>
      </c>
      <c r="T113" s="27">
        <f t="shared" si="3"/>
        <v>1</v>
      </c>
    </row>
    <row r="114" spans="2:20" x14ac:dyDescent="0.2">
      <c r="B114" s="20">
        <v>7.4547475669838589E-2</v>
      </c>
      <c r="C114" s="21">
        <v>0.10475647817711055</v>
      </c>
      <c r="E114" s="20">
        <v>0.25307579492929194</v>
      </c>
      <c r="F114" s="25">
        <v>6.7716571892220781E-8</v>
      </c>
      <c r="G114" s="25">
        <v>1.0034302069375097E-7</v>
      </c>
      <c r="H114" s="25">
        <v>0.24692431937416129</v>
      </c>
      <c r="I114" s="25">
        <v>9.9999723511738192E-2</v>
      </c>
      <c r="J114" s="25">
        <v>0.32841063932450898</v>
      </c>
      <c r="K114" s="25">
        <v>8.260005795012537E-9</v>
      </c>
      <c r="L114" s="25">
        <v>7.7289780552944916E-8</v>
      </c>
      <c r="M114" s="25">
        <v>6.0413800473879717E-2</v>
      </c>
      <c r="N114" s="21">
        <v>1.1175468777040766E-2</v>
      </c>
      <c r="P114" s="27">
        <f t="array" ref="P114">SQRT(MMULT($E114:$N114,MMULT($G$5:$P$14,TRANSPOSE($E114:$N114))))-B114</f>
        <v>0</v>
      </c>
      <c r="Q114" s="27">
        <f t="shared" si="2"/>
        <v>0</v>
      </c>
      <c r="R114" s="27">
        <f t="array" ref="R114">SUM(IF($E114:$N114&lt;TRANSPOSE($D$5:$D$14),1,"-"))+SUM(IF($E114:$N114&gt;TRANSPOSE($E$5:$E$14),1,"-"))</f>
        <v>0</v>
      </c>
      <c r="S114" s="27">
        <f t="array" ref="S114">SUM(IF(MMULT($E114:$N114,$C$18:$F$27)&lt;$C$31:$F$31,1,"-"))+SUM(IF(MMULT($E114:$N114,$C$18:$F$27)&gt;$C$32:$F$32,1,"-"))</f>
        <v>0</v>
      </c>
      <c r="T114" s="27">
        <f t="shared" si="3"/>
        <v>0.99999999999999989</v>
      </c>
    </row>
    <row r="115" spans="2:20" x14ac:dyDescent="0.2">
      <c r="B115" s="20">
        <v>7.4559046311423405E-2</v>
      </c>
      <c r="C115" s="21">
        <v>0.10494876464342422</v>
      </c>
      <c r="E115" s="20">
        <v>0.25341709126159806</v>
      </c>
      <c r="F115" s="25">
        <v>1.2021809472524139E-8</v>
      </c>
      <c r="G115" s="25">
        <v>1.8010686764231742E-8</v>
      </c>
      <c r="H115" s="25">
        <v>0.24658292924865263</v>
      </c>
      <c r="I115" s="25">
        <v>9.9999950507420401E-2</v>
      </c>
      <c r="J115" s="25">
        <v>0.32978822506318162</v>
      </c>
      <c r="K115" s="25">
        <v>1.4750744878356622E-9</v>
      </c>
      <c r="L115" s="25">
        <v>1.3514863763853772E-8</v>
      </c>
      <c r="M115" s="25">
        <v>5.8034709387736645E-2</v>
      </c>
      <c r="N115" s="21">
        <v>1.2177049508976179E-2</v>
      </c>
      <c r="P115" s="27">
        <f t="array" ref="P115">SQRT(MMULT($E115:$N115,MMULT($G$5:$P$14,TRANSPOSE($E115:$N115))))-B115</f>
        <v>0</v>
      </c>
      <c r="Q115" s="27">
        <f t="shared" si="2"/>
        <v>0</v>
      </c>
      <c r="R115" s="27">
        <f t="array" ref="R115">SUM(IF($E115:$N115&lt;TRANSPOSE($D$5:$D$14),1,"-"))+SUM(IF($E115:$N115&gt;TRANSPOSE($E$5:$E$14),1,"-"))</f>
        <v>0</v>
      </c>
      <c r="S115" s="27">
        <f t="array" ref="S115">SUM(IF(MMULT($E115:$N115,$C$18:$F$27)&lt;$C$31:$F$31,1,"-"))+SUM(IF(MMULT($E115:$N115,$C$18:$F$27)&gt;$C$32:$F$32,1,"-"))</f>
        <v>0</v>
      </c>
      <c r="T115" s="27">
        <f t="shared" si="3"/>
        <v>1.0000000000000002</v>
      </c>
    </row>
    <row r="116" spans="2:20" x14ac:dyDescent="0.2">
      <c r="B116" s="20">
        <v>7.4570705389136391E-2</v>
      </c>
      <c r="C116" s="21">
        <v>0.10514105110973782</v>
      </c>
      <c r="E116" s="20">
        <v>0.25375800963707351</v>
      </c>
      <c r="F116" s="25">
        <v>1.1643486130110203E-8</v>
      </c>
      <c r="G116" s="25">
        <v>1.7540847414099336E-8</v>
      </c>
      <c r="H116" s="25">
        <v>0.24624200999406082</v>
      </c>
      <c r="I116" s="25">
        <v>9.9999952201700909E-2</v>
      </c>
      <c r="J116" s="25">
        <v>0.33116473566312205</v>
      </c>
      <c r="K116" s="25">
        <v>1.4282990384966147E-9</v>
      </c>
      <c r="L116" s="25">
        <v>1.2979721398090597E-8</v>
      </c>
      <c r="M116" s="25">
        <v>5.5655414889539026E-2</v>
      </c>
      <c r="N116" s="21">
        <v>1.317983402214979E-2</v>
      </c>
      <c r="P116" s="27">
        <f t="array" ref="P116">SQRT(MMULT($E116:$N116,MMULT($G$5:$P$14,TRANSPOSE($E116:$N116))))-B116</f>
        <v>0</v>
      </c>
      <c r="Q116" s="27">
        <f t="shared" si="2"/>
        <v>0</v>
      </c>
      <c r="R116" s="27">
        <f t="array" ref="R116">SUM(IF($E116:$N116&lt;TRANSPOSE($D$5:$D$14),1,"-"))+SUM(IF($E116:$N116&gt;TRANSPOSE($E$5:$E$14),1,"-"))</f>
        <v>0</v>
      </c>
      <c r="S116" s="27">
        <f t="array" ref="S116">SUM(IF(MMULT($E116:$N116,$C$18:$F$27)&lt;$C$31:$F$31,1,"-"))+SUM(IF(MMULT($E116:$N116,$C$18:$F$27)&gt;$C$32:$F$32,1,"-"))</f>
        <v>0</v>
      </c>
      <c r="T116" s="27">
        <f t="shared" si="3"/>
        <v>1.0000000000000002</v>
      </c>
    </row>
    <row r="117" spans="2:20" x14ac:dyDescent="0.2">
      <c r="B117" s="20">
        <v>7.4582449530807698E-2</v>
      </c>
      <c r="C117" s="21">
        <v>0.10533333757605143</v>
      </c>
      <c r="E117" s="20">
        <v>0.25409895201462585</v>
      </c>
      <c r="F117" s="25">
        <v>2.4173037584550038E-9</v>
      </c>
      <c r="G117" s="25">
        <v>3.6796810302205707E-9</v>
      </c>
      <c r="H117" s="25">
        <v>0.24590105205717741</v>
      </c>
      <c r="I117" s="25">
        <v>9.9999990043554518E-2</v>
      </c>
      <c r="J117" s="25">
        <v>0.33254132118237972</v>
      </c>
      <c r="K117" s="25">
        <v>2.9789681113915373E-10</v>
      </c>
      <c r="L117" s="25">
        <v>2.6561887599847372E-9</v>
      </c>
      <c r="M117" s="25">
        <v>5.3276144784547438E-2</v>
      </c>
      <c r="N117" s="21">
        <v>1.4182530866644784E-2</v>
      </c>
      <c r="P117" s="27">
        <f t="array" ref="P117">SQRT(MMULT($E117:$N117,MMULT($G$5:$P$14,TRANSPOSE($E117:$N117))))-B117</f>
        <v>0</v>
      </c>
      <c r="Q117" s="27">
        <f t="shared" si="2"/>
        <v>0</v>
      </c>
      <c r="R117" s="27">
        <f t="array" ref="R117">SUM(IF($E117:$N117&lt;TRANSPOSE($D$5:$D$14),1,"-"))+SUM(IF($E117:$N117&gt;TRANSPOSE($E$5:$E$14),1,"-"))</f>
        <v>0</v>
      </c>
      <c r="S117" s="27">
        <f t="array" ref="S117">SUM(IF(MMULT($E117:$N117,$C$18:$F$27)&lt;$C$31:$F$31,1,"-"))+SUM(IF(MMULT($E117:$N117,$C$18:$F$27)&gt;$C$32:$F$32,1,"-"))</f>
        <v>0</v>
      </c>
      <c r="T117" s="27">
        <f t="shared" si="3"/>
        <v>1</v>
      </c>
    </row>
    <row r="118" spans="2:20" x14ac:dyDescent="0.2">
      <c r="B118" s="20">
        <v>7.4594279634696462E-2</v>
      </c>
      <c r="C118" s="21">
        <v>0.10552562404236505</v>
      </c>
      <c r="E118" s="20">
        <v>0.25443985907202721</v>
      </c>
      <c r="F118" s="25">
        <v>2.3376389069064832E-9</v>
      </c>
      <c r="G118" s="25">
        <v>3.574934635448469E-9</v>
      </c>
      <c r="H118" s="25">
        <v>0.24556014479798685</v>
      </c>
      <c r="I118" s="25">
        <v>9.9999990422522417E-2</v>
      </c>
      <c r="J118" s="25">
        <v>0.33391780144753608</v>
      </c>
      <c r="K118" s="25">
        <v>2.8769688983185569E-10</v>
      </c>
      <c r="L118" s="25">
        <v>2.5500288539142978E-9</v>
      </c>
      <c r="M118" s="25">
        <v>5.0896847026074221E-2</v>
      </c>
      <c r="N118" s="21">
        <v>1.518534848355404E-2</v>
      </c>
      <c r="P118" s="27">
        <f t="array" ref="P118">SQRT(MMULT($E118:$N118,MMULT($G$5:$P$14,TRANSPOSE($E118:$N118))))-B118</f>
        <v>0</v>
      </c>
      <c r="Q118" s="27">
        <f t="shared" si="2"/>
        <v>0</v>
      </c>
      <c r="R118" s="27">
        <f t="array" ref="R118">SUM(IF($E118:$N118&lt;TRANSPOSE($D$5:$D$14),1,"-"))+SUM(IF($E118:$N118&gt;TRANSPOSE($E$5:$E$14),1,"-"))</f>
        <v>0</v>
      </c>
      <c r="S118" s="27">
        <f t="array" ref="S118">SUM(IF(MMULT($E118:$N118,$C$18:$F$27)&lt;$C$31:$F$31,1,"-"))+SUM(IF(MMULT($E118:$N118,$C$18:$F$27)&gt;$C$32:$F$32,1,"-"))</f>
        <v>0</v>
      </c>
      <c r="T118" s="27">
        <f t="shared" si="3"/>
        <v>1.0000000000000002</v>
      </c>
    </row>
    <row r="119" spans="2:20" x14ac:dyDescent="0.2">
      <c r="B119" s="20">
        <v>7.4606195183560042E-2</v>
      </c>
      <c r="C119" s="21">
        <v>0.10571791050867868</v>
      </c>
      <c r="E119" s="20">
        <v>0.2547807660173918</v>
      </c>
      <c r="F119" s="25">
        <v>2.2663256829212088E-9</v>
      </c>
      <c r="G119" s="25">
        <v>3.4820010099571937E-9</v>
      </c>
      <c r="H119" s="25">
        <v>0.24521923766904505</v>
      </c>
      <c r="I119" s="25">
        <v>9.9999990763858002E-2</v>
      </c>
      <c r="J119" s="25">
        <v>0.33529428139564088</v>
      </c>
      <c r="K119" s="25">
        <v>2.7854508379461764E-10</v>
      </c>
      <c r="L119" s="25">
        <v>2.4544582474958886E-9</v>
      </c>
      <c r="M119" s="25">
        <v>4.8517549222798356E-2</v>
      </c>
      <c r="N119" s="21">
        <v>1.6188166449935808E-2</v>
      </c>
      <c r="P119" s="27">
        <f t="array" ref="P119">SQRT(MMULT($E119:$N119,MMULT($G$5:$P$14,TRANSPOSE($E119:$N119))))-B119</f>
        <v>0</v>
      </c>
      <c r="Q119" s="27">
        <f t="shared" si="2"/>
        <v>0</v>
      </c>
      <c r="R119" s="27">
        <f t="array" ref="R119">SUM(IF($E119:$N119&lt;TRANSPOSE($D$5:$D$14),1,"-"))+SUM(IF($E119:$N119&gt;TRANSPOSE($E$5:$E$14),1,"-"))</f>
        <v>0</v>
      </c>
      <c r="S119" s="27">
        <f t="array" ref="S119">SUM(IF(MMULT($E119:$N119,$C$18:$F$27)&lt;$C$31:$F$31,1,"-"))+SUM(IF(MMULT($E119:$N119,$C$18:$F$27)&gt;$C$32:$F$32,1,"-"))</f>
        <v>0</v>
      </c>
      <c r="T119" s="27">
        <f t="shared" si="3"/>
        <v>0.99999999999999989</v>
      </c>
    </row>
    <row r="120" spans="2:20" x14ac:dyDescent="0.2">
      <c r="B120" s="20">
        <v>7.4618196136387122E-2</v>
      </c>
      <c r="C120" s="21">
        <v>0.10591019697499229</v>
      </c>
      <c r="E120" s="20">
        <v>0.25512167288239335</v>
      </c>
      <c r="F120" s="25">
        <v>2.2018782021589874E-9</v>
      </c>
      <c r="G120" s="25">
        <v>3.3987678630852652E-9</v>
      </c>
      <c r="H120" s="25">
        <v>0.24487833063563652</v>
      </c>
      <c r="I120" s="25">
        <v>9.9999991074070094E-2</v>
      </c>
      <c r="J120" s="25">
        <v>0.33667076111166505</v>
      </c>
      <c r="K120" s="25">
        <v>2.7025634142156581E-10</v>
      </c>
      <c r="L120" s="25">
        <v>2.3676418267897906E-9</v>
      </c>
      <c r="M120" s="25">
        <v>4.6138251385254049E-2</v>
      </c>
      <c r="N120" s="21">
        <v>1.7190984672436634E-2</v>
      </c>
      <c r="P120" s="27">
        <f t="array" ref="P120">SQRT(MMULT($E120:$N120,MMULT($G$5:$P$14,TRANSPOSE($E120:$N120))))-B120</f>
        <v>0</v>
      </c>
      <c r="Q120" s="27">
        <f t="shared" si="2"/>
        <v>0</v>
      </c>
      <c r="R120" s="27">
        <f t="array" ref="R120">SUM(IF($E120:$N120&lt;TRANSPOSE($D$5:$D$14),1,"-"))+SUM(IF($E120:$N120&gt;TRANSPOSE($E$5:$E$14),1,"-"))</f>
        <v>0</v>
      </c>
      <c r="S120" s="27">
        <f t="array" ref="S120">SUM(IF(MMULT($E120:$N120,$C$18:$F$27)&lt;$C$31:$F$31,1,"-"))+SUM(IF(MMULT($E120:$N120,$C$18:$F$27)&gt;$C$32:$F$32,1,"-"))</f>
        <v>0</v>
      </c>
      <c r="T120" s="27">
        <f t="shared" si="3"/>
        <v>1</v>
      </c>
    </row>
    <row r="121" spans="2:20" x14ac:dyDescent="0.2">
      <c r="B121" s="20">
        <v>7.4630282451900135E-2</v>
      </c>
      <c r="C121" s="21">
        <v>0.10610248344130591</v>
      </c>
      <c r="E121" s="20">
        <v>0.25546257968843217</v>
      </c>
      <c r="F121" s="25">
        <v>2.1428229613402495E-9</v>
      </c>
      <c r="G121" s="25">
        <v>3.3230974664186847E-9</v>
      </c>
      <c r="H121" s="25">
        <v>0.24453742367348763</v>
      </c>
      <c r="I121" s="25">
        <v>9.9999991359513263E-2</v>
      </c>
      <c r="J121" s="25">
        <v>0.33804724065263886</v>
      </c>
      <c r="K121" s="25">
        <v>2.6264767307336054E-10</v>
      </c>
      <c r="L121" s="25">
        <v>2.2878133459882555E-9</v>
      </c>
      <c r="M121" s="25">
        <v>4.3758953521710851E-2</v>
      </c>
      <c r="N121" s="21">
        <v>1.8193803087835931E-2</v>
      </c>
      <c r="P121" s="27">
        <f t="array" ref="P121">SQRT(MMULT($E121:$N121,MMULT($G$5:$P$14,TRANSPOSE($E121:$N121))))-B121</f>
        <v>0</v>
      </c>
      <c r="Q121" s="27">
        <f t="shared" si="2"/>
        <v>0</v>
      </c>
      <c r="R121" s="27">
        <f t="array" ref="R121">SUM(IF($E121:$N121&lt;TRANSPOSE($D$5:$D$14),1,"-"))+SUM(IF($E121:$N121&gt;TRANSPOSE($E$5:$E$14),1,"-"))</f>
        <v>0</v>
      </c>
      <c r="S121" s="27">
        <f t="array" ref="S121">SUM(IF(MMULT($E121:$N121,$C$18:$F$27)&lt;$C$31:$F$31,1,"-"))+SUM(IF(MMULT($E121:$N121,$C$18:$F$27)&gt;$C$32:$F$32,1,"-"))</f>
        <v>0</v>
      </c>
      <c r="T121" s="27">
        <f t="shared" si="3"/>
        <v>1.0000000000000004</v>
      </c>
    </row>
    <row r="122" spans="2:20" x14ac:dyDescent="0.2">
      <c r="B122" s="20">
        <v>7.4642454088557644E-2</v>
      </c>
      <c r="C122" s="21">
        <v>0.10629476990761957</v>
      </c>
      <c r="E122" s="20">
        <v>0.25580348645078371</v>
      </c>
      <c r="F122" s="25">
        <v>2.0877303181347768E-9</v>
      </c>
      <c r="G122" s="25">
        <v>3.2528769214029446E-9</v>
      </c>
      <c r="H122" s="25">
        <v>0.2441965167646723</v>
      </c>
      <c r="I122" s="25">
        <v>9.999999162625399E-2</v>
      </c>
      <c r="J122" s="25">
        <v>0.33942372005894256</v>
      </c>
      <c r="K122" s="25">
        <v>2.5554215222749734E-10</v>
      </c>
      <c r="L122" s="25">
        <v>2.2133050788385686E-9</v>
      </c>
      <c r="M122" s="25">
        <v>4.137965563894825E-2</v>
      </c>
      <c r="N122" s="21">
        <v>1.9196621650944733E-2</v>
      </c>
      <c r="P122" s="27">
        <f t="array" ref="P122">SQRT(MMULT($E122:$N122,MMULT($G$5:$P$14,TRANSPOSE($E122:$N122))))-B122</f>
        <v>0</v>
      </c>
      <c r="Q122" s="27">
        <f t="shared" si="2"/>
        <v>0</v>
      </c>
      <c r="R122" s="27">
        <f t="array" ref="R122">SUM(IF($E122:$N122&lt;TRANSPOSE($D$5:$D$14),1,"-"))+SUM(IF($E122:$N122&gt;TRANSPOSE($E$5:$E$14),1,"-"))</f>
        <v>0</v>
      </c>
      <c r="S122" s="27">
        <f t="array" ref="S122">SUM(IF(MMULT($E122:$N122,$C$18:$F$27)&lt;$C$31:$F$31,1,"-"))+SUM(IF(MMULT($E122:$N122,$C$18:$F$27)&gt;$C$32:$F$32,1,"-"))</f>
        <v>0</v>
      </c>
      <c r="T122" s="27">
        <f t="shared" si="3"/>
        <v>0.99999999999999989</v>
      </c>
    </row>
    <row r="123" spans="2:20" x14ac:dyDescent="0.2">
      <c r="B123" s="20">
        <v>7.4654711004555591E-2</v>
      </c>
      <c r="C123" s="21">
        <v>0.1064870563739332</v>
      </c>
      <c r="E123" s="20">
        <v>0.25614439318077237</v>
      </c>
      <c r="F123" s="25">
        <v>2.0352203398344342E-9</v>
      </c>
      <c r="G123" s="25">
        <v>3.1860290094080629E-9</v>
      </c>
      <c r="H123" s="25">
        <v>0.24385560989544755</v>
      </c>
      <c r="I123" s="25">
        <v>9.9999991880047781E-2</v>
      </c>
      <c r="J123" s="25">
        <v>0.3408001993600912</v>
      </c>
      <c r="K123" s="25">
        <v>2.487696899677831E-10</v>
      </c>
      <c r="L123" s="25">
        <v>2.1425497835485706E-9</v>
      </c>
      <c r="M123" s="25">
        <v>3.9000357742703294E-2</v>
      </c>
      <c r="N123" s="21">
        <v>2.0199440328369046E-2</v>
      </c>
      <c r="P123" s="27">
        <f t="array" ref="P123">SQRT(MMULT($E123:$N123,MMULT($G$5:$P$14,TRANSPOSE($E123:$N123))))-B123</f>
        <v>0</v>
      </c>
      <c r="Q123" s="27">
        <f t="shared" si="2"/>
        <v>0</v>
      </c>
      <c r="R123" s="27">
        <f t="array" ref="R123">SUM(IF($E123:$N123&lt;TRANSPOSE($D$5:$D$14),1,"-"))+SUM(IF($E123:$N123&gt;TRANSPOSE($E$5:$E$14),1,"-"))</f>
        <v>0</v>
      </c>
      <c r="S123" s="27">
        <f t="array" ref="S123">SUM(IF(MMULT($E123:$N123,$C$18:$F$27)&lt;$C$31:$F$31,1,"-"))+SUM(IF(MMULT($E123:$N123,$C$18:$F$27)&gt;$C$32:$F$32,1,"-"))</f>
        <v>0</v>
      </c>
      <c r="T123" s="27">
        <f t="shared" si="3"/>
        <v>1</v>
      </c>
    </row>
    <row r="124" spans="2:20" x14ac:dyDescent="0.2">
      <c r="B124" s="20">
        <v>7.4667053157827346E-2</v>
      </c>
      <c r="C124" s="21">
        <v>0.10667934284024683</v>
      </c>
      <c r="E124" s="20">
        <v>0.25648529988723168</v>
      </c>
      <c r="F124" s="25">
        <v>1.9839582377930204E-9</v>
      </c>
      <c r="G124" s="25">
        <v>3.1205065830969415E-9</v>
      </c>
      <c r="H124" s="25">
        <v>0.24351470305477829</v>
      </c>
      <c r="I124" s="25">
        <v>9.999999212636064E-2</v>
      </c>
      <c r="J124" s="25">
        <v>0.34217667857867767</v>
      </c>
      <c r="K124" s="25">
        <v>2.4216649788528808E-10</v>
      </c>
      <c r="L124" s="25">
        <v>2.0740720042952262E-9</v>
      </c>
      <c r="M124" s="25">
        <v>3.6621059837986879E-2</v>
      </c>
      <c r="N124" s="21">
        <v>2.1202259094261471E-2</v>
      </c>
      <c r="P124" s="27">
        <f t="array" ref="P124">SQRT(MMULT($E124:$N124,MMULT($G$5:$P$14,TRANSPOSE($E124:$N124))))-B124</f>
        <v>0</v>
      </c>
      <c r="Q124" s="27">
        <f t="shared" si="2"/>
        <v>0</v>
      </c>
      <c r="R124" s="27">
        <f t="array" ref="R124">SUM(IF($E124:$N124&lt;TRANSPOSE($D$5:$D$14),1,"-"))+SUM(IF($E124:$N124&gt;TRANSPOSE($E$5:$E$14),1,"-"))</f>
        <v>0</v>
      </c>
      <c r="S124" s="27">
        <f t="array" ref="S124">SUM(IF(MMULT($E124:$N124,$C$18:$F$27)&lt;$C$31:$F$31,1,"-"))+SUM(IF(MMULT($E124:$N124,$C$18:$F$27)&gt;$C$32:$F$32,1,"-"))</f>
        <v>0</v>
      </c>
      <c r="T124" s="27">
        <f t="shared" si="3"/>
        <v>1</v>
      </c>
    </row>
    <row r="125" spans="2:20" x14ac:dyDescent="0.2">
      <c r="B125" s="20">
        <v>7.467948061172372E-2</v>
      </c>
      <c r="C125" s="21">
        <v>0.10687162930656044</v>
      </c>
      <c r="E125" s="20">
        <v>0.25682620499137043</v>
      </c>
      <c r="F125" s="25">
        <v>3.9660612761404974E-9</v>
      </c>
      <c r="G125" s="25">
        <v>6.2603992737312065E-9</v>
      </c>
      <c r="H125" s="25">
        <v>0.24317380078219536</v>
      </c>
      <c r="I125" s="25">
        <v>9.999998434477482E-2</v>
      </c>
      <c r="J125" s="25">
        <v>0.34355314919561619</v>
      </c>
      <c r="K125" s="25">
        <v>4.8309241178160902E-10</v>
      </c>
      <c r="L125" s="25">
        <v>4.1221628415305079E-9</v>
      </c>
      <c r="M125" s="25">
        <v>3.4241757717205563E-2</v>
      </c>
      <c r="N125" s="21">
        <v>2.2205088137121718E-2</v>
      </c>
      <c r="P125" s="27">
        <f t="array" ref="P125">SQRT(MMULT($E125:$N125,MMULT($G$5:$P$14,TRANSPOSE($E125:$N125))))-B125</f>
        <v>0</v>
      </c>
      <c r="Q125" s="27">
        <f t="shared" si="2"/>
        <v>0</v>
      </c>
      <c r="R125" s="27">
        <f t="array" ref="R125">SUM(IF($E125:$N125&lt;TRANSPOSE($D$5:$D$14),1,"-"))+SUM(IF($E125:$N125&gt;TRANSPOSE($E$5:$E$14),1,"-"))</f>
        <v>0</v>
      </c>
      <c r="S125" s="27">
        <f t="array" ref="S125">SUM(IF(MMULT($E125:$N125,$C$18:$F$27)&lt;$C$31:$F$31,1,"-"))+SUM(IF(MMULT($E125:$N125,$C$18:$F$27)&gt;$C$32:$F$32,1,"-"))</f>
        <v>0</v>
      </c>
      <c r="T125" s="27">
        <f t="shared" si="3"/>
        <v>1</v>
      </c>
    </row>
    <row r="126" spans="2:20" x14ac:dyDescent="0.2">
      <c r="B126" s="20">
        <v>7.4691993113166197E-2</v>
      </c>
      <c r="C126" s="21">
        <v>0.10706391577287405</v>
      </c>
      <c r="E126" s="20">
        <v>0.25716711193988556</v>
      </c>
      <c r="F126" s="25">
        <v>3.931925711592112E-9</v>
      </c>
      <c r="G126" s="25">
        <v>6.2356801284473577E-9</v>
      </c>
      <c r="H126" s="25">
        <v>0.24283289367505281</v>
      </c>
      <c r="I126" s="25">
        <v>9.9999984558876612E-2</v>
      </c>
      <c r="J126" s="25">
        <v>0.34492962860664267</v>
      </c>
      <c r="K126" s="25">
        <v>4.7827492278069433E-10</v>
      </c>
      <c r="L126" s="25">
        <v>4.0589078810002062E-9</v>
      </c>
      <c r="M126" s="25">
        <v>3.1862459915244772E-2</v>
      </c>
      <c r="N126" s="21">
        <v>2.3207906599508735E-2</v>
      </c>
      <c r="P126" s="27">
        <f t="array" ref="P126">SQRT(MMULT($E126:$N126,MMULT($G$5:$P$14,TRANSPOSE($E126:$N126))))-B126</f>
        <v>0</v>
      </c>
      <c r="Q126" s="27">
        <f t="shared" si="2"/>
        <v>0</v>
      </c>
      <c r="R126" s="27">
        <f t="array" ref="R126">SUM(IF($E126:$N126&lt;TRANSPOSE($D$5:$D$14),1,"-"))+SUM(IF($E126:$N126&gt;TRANSPOSE($E$5:$E$14),1,"-"))</f>
        <v>0</v>
      </c>
      <c r="S126" s="27">
        <f t="array" ref="S126">SUM(IF(MMULT($E126:$N126,$C$18:$F$27)&lt;$C$31:$F$31,1,"-"))+SUM(IF(MMULT($E126:$N126,$C$18:$F$27)&gt;$C$32:$F$32,1,"-"))</f>
        <v>0</v>
      </c>
      <c r="T126" s="27">
        <f t="shared" si="3"/>
        <v>0.99999999999999989</v>
      </c>
    </row>
    <row r="127" spans="2:20" x14ac:dyDescent="0.2">
      <c r="B127" s="20">
        <v>7.4704590725353986E-2</v>
      </c>
      <c r="C127" s="21">
        <v>0.10725620223918769</v>
      </c>
      <c r="E127" s="20">
        <v>0.25750801887364017</v>
      </c>
      <c r="F127" s="25">
        <v>3.9191890775843824E-9</v>
      </c>
      <c r="G127" s="25">
        <v>6.2446233390912162E-9</v>
      </c>
      <c r="H127" s="25">
        <v>0.24249198661540255</v>
      </c>
      <c r="I127" s="25">
        <v>9.9999984687043325E-2</v>
      </c>
      <c r="J127" s="25">
        <v>0.34630610782977544</v>
      </c>
      <c r="K127" s="25">
        <v>4.7606246462701343E-10</v>
      </c>
      <c r="L127" s="25">
        <v>4.0186123716665237E-9</v>
      </c>
      <c r="M127" s="25">
        <v>2.9483162078122495E-2</v>
      </c>
      <c r="N127" s="21">
        <v>2.4210725257528785E-2</v>
      </c>
      <c r="P127" s="27">
        <f t="array" ref="P127">SQRT(MMULT($E127:$N127,MMULT($G$5:$P$14,TRANSPOSE($E127:$N127))))-B127</f>
        <v>0</v>
      </c>
      <c r="Q127" s="27">
        <f t="shared" si="2"/>
        <v>0</v>
      </c>
      <c r="R127" s="27">
        <f t="array" ref="R127">SUM(IF($E127:$N127&lt;TRANSPOSE($D$5:$D$14),1,"-"))+SUM(IF($E127:$N127&gt;TRANSPOSE($E$5:$E$14),1,"-"))</f>
        <v>0</v>
      </c>
      <c r="S127" s="27">
        <f t="array" ref="S127">SUM(IF(MMULT($E127:$N127,$C$18:$F$27)&lt;$C$31:$F$31,1,"-"))+SUM(IF(MMULT($E127:$N127,$C$18:$F$27)&gt;$C$32:$F$32,1,"-"))</f>
        <v>0</v>
      </c>
      <c r="T127" s="27">
        <f t="shared" si="3"/>
        <v>0.99999999999999989</v>
      </c>
    </row>
    <row r="128" spans="2:20" x14ac:dyDescent="0.2">
      <c r="B128" s="20">
        <v>7.4717273852411878E-2</v>
      </c>
      <c r="C128" s="21">
        <v>0.1074484887055013</v>
      </c>
      <c r="E128" s="20">
        <v>0.25784892097974671</v>
      </c>
      <c r="F128" s="25">
        <v>1.2557810460881083E-8</v>
      </c>
      <c r="G128" s="25">
        <v>1.9992426840101622E-8</v>
      </c>
      <c r="H128" s="25">
        <v>0.24215109639797375</v>
      </c>
      <c r="I128" s="25">
        <v>9.9999951155623767E-2</v>
      </c>
      <c r="J128" s="25">
        <v>0.34768255099419926</v>
      </c>
      <c r="K128" s="25">
        <v>1.5182239383874909E-9</v>
      </c>
      <c r="L128" s="25">
        <v>1.2905801732332873E-8</v>
      </c>
      <c r="M128" s="25">
        <v>2.710384762790238E-2</v>
      </c>
      <c r="N128" s="21">
        <v>2.5213585870290985E-2</v>
      </c>
      <c r="P128" s="27">
        <f t="array" ref="P128">SQRT(MMULT($E128:$N128,MMULT($G$5:$P$14,TRANSPOSE($E128:$N128))))-B128</f>
        <v>0</v>
      </c>
      <c r="Q128" s="27">
        <f t="shared" si="2"/>
        <v>0</v>
      </c>
      <c r="R128" s="27">
        <f t="array" ref="R128">SUM(IF($E128:$N128&lt;TRANSPOSE($D$5:$D$14),1,"-"))+SUM(IF($E128:$N128&gt;TRANSPOSE($E$5:$E$14),1,"-"))</f>
        <v>0</v>
      </c>
      <c r="S128" s="27">
        <f t="array" ref="S128">SUM(IF(MMULT($E128:$N128,$C$18:$F$27)&lt;$C$31:$F$31,1,"-"))+SUM(IF(MMULT($E128:$N128,$C$18:$F$27)&gt;$C$32:$F$32,1,"-"))</f>
        <v>0</v>
      </c>
      <c r="T128" s="27">
        <f t="shared" si="3"/>
        <v>0.99999999999999989</v>
      </c>
    </row>
    <row r="129" spans="2:20" x14ac:dyDescent="0.2">
      <c r="B129" s="20">
        <v>7.4730041597364294E-2</v>
      </c>
      <c r="C129" s="21">
        <v>0.10764077517181493</v>
      </c>
      <c r="E129" s="20">
        <v>0.25818982938520485</v>
      </c>
      <c r="F129" s="25">
        <v>1.3395778784877069E-8</v>
      </c>
      <c r="G129" s="25">
        <v>2.1317266777389376E-8</v>
      </c>
      <c r="H129" s="25">
        <v>0.24181018894920994</v>
      </c>
      <c r="I129" s="25">
        <v>9.9999948104476613E-2</v>
      </c>
      <c r="J129" s="25">
        <v>0.34905902900784114</v>
      </c>
      <c r="K129" s="25">
        <v>1.6145068719951519E-9</v>
      </c>
      <c r="L129" s="25">
        <v>1.3668812507913097E-8</v>
      </c>
      <c r="M129" s="25">
        <v>2.4724548974204598E-2</v>
      </c>
      <c r="N129" s="21">
        <v>2.6216405582697798E-2</v>
      </c>
      <c r="P129" s="27">
        <f t="array" ref="P129">SQRT(MMULT($E129:$N129,MMULT($G$5:$P$14,TRANSPOSE($E129:$N129))))-B129</f>
        <v>0</v>
      </c>
      <c r="Q129" s="27">
        <f t="shared" si="2"/>
        <v>0</v>
      </c>
      <c r="R129" s="27">
        <f t="array" ref="R129">SUM(IF($E129:$N129&lt;TRANSPOSE($D$5:$D$14),1,"-"))+SUM(IF($E129:$N129&gt;TRANSPOSE($E$5:$E$14),1,"-"))</f>
        <v>0</v>
      </c>
      <c r="S129" s="27">
        <f t="array" ref="S129">SUM(IF(MMULT($E129:$N129,$C$18:$F$27)&lt;$C$31:$F$31,1,"-"))+SUM(IF(MMULT($E129:$N129,$C$18:$F$27)&gt;$C$32:$F$32,1,"-"))</f>
        <v>0</v>
      </c>
      <c r="T129" s="27">
        <f t="shared" si="3"/>
        <v>0.99999999999999989</v>
      </c>
    </row>
    <row r="130" spans="2:20" x14ac:dyDescent="0.2">
      <c r="B130" s="20">
        <v>7.4742894254829231E-2</v>
      </c>
      <c r="C130" s="21">
        <v>0.10783306163812857</v>
      </c>
      <c r="E130" s="20">
        <v>0.25853073822237593</v>
      </c>
      <c r="F130" s="25">
        <v>1.2918011913228533E-8</v>
      </c>
      <c r="G130" s="25">
        <v>2.0635039270628147E-8</v>
      </c>
      <c r="H130" s="25">
        <v>0.24146927918467534</v>
      </c>
      <c r="I130" s="25">
        <v>9.9999950149553707E-2</v>
      </c>
      <c r="J130" s="25">
        <v>0.35043551115836324</v>
      </c>
      <c r="K130" s="25">
        <v>1.5550056473743578E-9</v>
      </c>
      <c r="L130" s="25">
        <v>1.3099593712139479E-8</v>
      </c>
      <c r="M130" s="25">
        <v>2.234525286039624E-2</v>
      </c>
      <c r="N130" s="21">
        <v>2.7219220216985054E-2</v>
      </c>
      <c r="P130" s="27">
        <f t="array" ref="P130">SQRT(MMULT($E130:$N130,MMULT($G$5:$P$14,TRANSPOSE($E130:$N130))))-B130</f>
        <v>0</v>
      </c>
      <c r="Q130" s="27">
        <f t="shared" si="2"/>
        <v>0</v>
      </c>
      <c r="R130" s="27">
        <f t="array" ref="R130">SUM(IF($E130:$N130&lt;TRANSPOSE($D$5:$D$14),1,"-"))+SUM(IF($E130:$N130&gt;TRANSPOSE($E$5:$E$14),1,"-"))</f>
        <v>0</v>
      </c>
      <c r="S130" s="27">
        <f t="array" ref="S130">SUM(IF(MMULT($E130:$N130,$C$18:$F$27)&lt;$C$31:$F$31,1,"-"))+SUM(IF(MMULT($E130:$N130,$C$18:$F$27)&gt;$C$32:$F$32,1,"-"))</f>
        <v>0</v>
      </c>
      <c r="T130" s="27">
        <f t="shared" si="3"/>
        <v>1.0000000000000002</v>
      </c>
    </row>
    <row r="131" spans="2:20" x14ac:dyDescent="0.2">
      <c r="B131" s="20">
        <v>7.4755831849803708E-2</v>
      </c>
      <c r="C131" s="21">
        <v>0.1080253481044422</v>
      </c>
      <c r="E131" s="20">
        <v>0.25887164712535948</v>
      </c>
      <c r="F131" s="25">
        <v>1.2471013905738821E-8</v>
      </c>
      <c r="G131" s="25">
        <v>1.9987112093387283E-8</v>
      </c>
      <c r="H131" s="25">
        <v>0.2411283694391439</v>
      </c>
      <c r="I131" s="25">
        <v>9.9999952047391885E-2</v>
      </c>
      <c r="J131" s="25">
        <v>0.35181199274556696</v>
      </c>
      <c r="K131" s="25">
        <v>1.4992573950363998E-9</v>
      </c>
      <c r="L131" s="25">
        <v>1.2572465091596751E-8</v>
      </c>
      <c r="M131" s="25">
        <v>1.9965956733357548E-2</v>
      </c>
      <c r="N131" s="21">
        <v>2.8222035379331673E-2</v>
      </c>
      <c r="P131" s="27">
        <f t="array" ref="P131">SQRT(MMULT($E131:$N131,MMULT($G$5:$P$14,TRANSPOSE($E131:$N131))))-B131</f>
        <v>0</v>
      </c>
      <c r="Q131" s="27">
        <f t="shared" si="2"/>
        <v>0</v>
      </c>
      <c r="R131" s="27">
        <f t="array" ref="R131">SUM(IF($E131:$N131&lt;TRANSPOSE($D$5:$D$14),1,"-"))+SUM(IF($E131:$N131&gt;TRANSPOSE($E$5:$E$14),1,"-"))</f>
        <v>0</v>
      </c>
      <c r="S131" s="27">
        <f t="array" ref="S131">SUM(IF(MMULT($E131:$N131,$C$18:$F$27)&lt;$C$31:$F$31,1,"-"))+SUM(IF(MMULT($E131:$N131,$C$18:$F$27)&gt;$C$32:$F$32,1,"-"))</f>
        <v>0</v>
      </c>
      <c r="T131" s="27">
        <f t="shared" si="3"/>
        <v>0.99999999999999978</v>
      </c>
    </row>
    <row r="132" spans="2:20" x14ac:dyDescent="0.2">
      <c r="B132" s="20">
        <v>7.4768854340861821E-2</v>
      </c>
      <c r="C132" s="21">
        <v>0.10821763457075578</v>
      </c>
      <c r="E132" s="20">
        <v>0.25921255624290368</v>
      </c>
      <c r="F132" s="25">
        <v>1.2105465276911109E-8</v>
      </c>
      <c r="G132" s="25">
        <v>1.9451478946058319E-8</v>
      </c>
      <c r="H132" s="25">
        <v>0.24078745964403098</v>
      </c>
      <c r="I132" s="25">
        <v>9.9999953593474675E-2</v>
      </c>
      <c r="J132" s="25">
        <v>0.35318847367488404</v>
      </c>
      <c r="K132" s="25">
        <v>1.4533337191301733E-9</v>
      </c>
      <c r="L132" s="25">
        <v>1.214043687033759E-8</v>
      </c>
      <c r="M132" s="25">
        <v>1.7586660561796637E-2</v>
      </c>
      <c r="N132" s="21">
        <v>2.9224851132195109E-2</v>
      </c>
      <c r="P132" s="27">
        <f t="array" ref="P132">SQRT(MMULT($E132:$N132,MMULT($G$5:$P$14,TRANSPOSE($E132:$N132))))-B132</f>
        <v>0</v>
      </c>
      <c r="Q132" s="27">
        <f t="shared" si="2"/>
        <v>0</v>
      </c>
      <c r="R132" s="27">
        <f t="array" ref="R132">SUM(IF($E132:$N132&lt;TRANSPOSE($D$5:$D$14),1,"-"))+SUM(IF($E132:$N132&gt;TRANSPOSE($E$5:$E$14),1,"-"))</f>
        <v>0</v>
      </c>
      <c r="S132" s="27">
        <f t="array" ref="S132">SUM(IF(MMULT($E132:$N132,$C$18:$F$27)&lt;$C$31:$F$31,1,"-"))+SUM(IF(MMULT($E132:$N132,$C$18:$F$27)&gt;$C$32:$F$32,1,"-"))</f>
        <v>0</v>
      </c>
      <c r="T132" s="27">
        <f t="shared" si="3"/>
        <v>0.99999999999999978</v>
      </c>
    </row>
    <row r="133" spans="2:20" x14ac:dyDescent="0.2">
      <c r="B133" s="20">
        <v>7.4781961451995449E-2</v>
      </c>
      <c r="C133" s="21">
        <v>0.10840992103706941</v>
      </c>
      <c r="E133" s="20">
        <v>0.25955346352198966</v>
      </c>
      <c r="F133" s="25">
        <v>7.3440120942928252E-9</v>
      </c>
      <c r="G133" s="25">
        <v>1.1806678780233477E-8</v>
      </c>
      <c r="H133" s="25">
        <v>0.24044654638616086</v>
      </c>
      <c r="I133" s="25">
        <v>9.9999971557841641E-2</v>
      </c>
      <c r="J133" s="25">
        <v>0.35456496880188848</v>
      </c>
      <c r="K133" s="25">
        <v>8.6667960586375094E-10</v>
      </c>
      <c r="L133" s="25">
        <v>7.3320314305446276E-9</v>
      </c>
      <c r="M133" s="25">
        <v>1.520737060565196E-2</v>
      </c>
      <c r="N133" s="21">
        <v>3.0227651777065538E-2</v>
      </c>
      <c r="P133" s="27">
        <f t="array" ref="P133">SQRT(MMULT($E133:$N133,MMULT($G$5:$P$14,TRANSPOSE($E133:$N133))))-B133</f>
        <v>0</v>
      </c>
      <c r="Q133" s="27">
        <f t="shared" si="2"/>
        <v>0</v>
      </c>
      <c r="R133" s="27">
        <f t="array" ref="R133">SUM(IF($E133:$N133&lt;TRANSPOSE($D$5:$D$14),1,"-"))+SUM(IF($E133:$N133&gt;TRANSPOSE($E$5:$E$14),1,"-"))</f>
        <v>0</v>
      </c>
      <c r="S133" s="27">
        <f t="array" ref="S133">SUM(IF(MMULT($E133:$N133,$C$18:$F$27)&lt;$C$31:$F$31,1,"-"))+SUM(IF(MMULT($E133:$N133,$C$18:$F$27)&gt;$C$32:$F$32,1,"-"))</f>
        <v>0</v>
      </c>
      <c r="T133" s="27">
        <f t="shared" si="3"/>
        <v>1</v>
      </c>
    </row>
    <row r="134" spans="2:20" x14ac:dyDescent="0.2">
      <c r="B134" s="20">
        <v>7.4795153608745765E-2</v>
      </c>
      <c r="C134" s="21">
        <v>0.10860220750338304</v>
      </c>
      <c r="E134" s="20">
        <v>0.25989437252738185</v>
      </c>
      <c r="F134" s="25">
        <v>7.2677674163052275E-9</v>
      </c>
      <c r="G134" s="25">
        <v>1.1604851376985133E-8</v>
      </c>
      <c r="H134" s="25">
        <v>0.24010563744984739</v>
      </c>
      <c r="I134" s="25">
        <v>9.9999971759334436E-2</v>
      </c>
      <c r="J134" s="25">
        <v>0.35594144810125949</v>
      </c>
      <c r="K134" s="25">
        <v>8.562302023293219E-10</v>
      </c>
      <c r="L134" s="25">
        <v>7.2462789882145073E-9</v>
      </c>
      <c r="M134" s="25">
        <v>1.2828073678352167E-2</v>
      </c>
      <c r="N134" s="21">
        <v>3.1230469508696644E-2</v>
      </c>
      <c r="P134" s="27">
        <f t="array" ref="P134">SQRT(MMULT($E134:$N134,MMULT($G$5:$P$14,TRANSPOSE($E134:$N134))))-B134</f>
        <v>0</v>
      </c>
      <c r="Q134" s="27">
        <f t="shared" si="2"/>
        <v>0</v>
      </c>
      <c r="R134" s="27">
        <f t="array" ref="R134">SUM(IF($E134:$N134&lt;TRANSPOSE($D$5:$D$14),1,"-"))+SUM(IF($E134:$N134&gt;TRANSPOSE($E$5:$E$14),1,"-"))</f>
        <v>0</v>
      </c>
      <c r="S134" s="27">
        <f t="array" ref="S134">SUM(IF(MMULT($E134:$N134,$C$18:$F$27)&lt;$C$31:$F$31,1,"-"))+SUM(IF(MMULT($E134:$N134,$C$18:$F$27)&gt;$C$32:$F$32,1,"-"))</f>
        <v>0</v>
      </c>
      <c r="T134" s="27">
        <f t="shared" si="3"/>
        <v>1</v>
      </c>
    </row>
    <row r="135" spans="2:20" x14ac:dyDescent="0.2">
      <c r="B135" s="20">
        <v>7.4808430423157352E-2</v>
      </c>
      <c r="C135" s="21">
        <v>0.10879449396969668</v>
      </c>
      <c r="E135" s="20">
        <v>0.26023527990196876</v>
      </c>
      <c r="F135" s="25">
        <v>5.2553212318742985E-9</v>
      </c>
      <c r="G135" s="25">
        <v>8.6389440503840484E-9</v>
      </c>
      <c r="H135" s="25">
        <v>0.23976472645482277</v>
      </c>
      <c r="I135" s="25">
        <v>9.9999980199700828E-2</v>
      </c>
      <c r="J135" s="25">
        <v>0.35731793377760296</v>
      </c>
      <c r="K135" s="25">
        <v>6.3077660849286644E-10</v>
      </c>
      <c r="L135" s="25">
        <v>5.1340928687501245E-9</v>
      </c>
      <c r="M135" s="25">
        <v>1.0448779951240647E-2</v>
      </c>
      <c r="N135" s="21">
        <v>3.2233280055529182E-2</v>
      </c>
      <c r="P135" s="27">
        <f t="array" ref="P135">SQRT(MMULT($E135:$N135,MMULT($G$5:$P$14,TRANSPOSE($E135:$N135))))-B135</f>
        <v>0</v>
      </c>
      <c r="Q135" s="27">
        <f t="shared" si="2"/>
        <v>0</v>
      </c>
      <c r="R135" s="27">
        <f t="array" ref="R135">SUM(IF($E135:$N135&lt;TRANSPOSE($D$5:$D$14),1,"-"))+SUM(IF($E135:$N135&gt;TRANSPOSE($E$5:$E$14),1,"-"))</f>
        <v>0</v>
      </c>
      <c r="S135" s="27">
        <f t="array" ref="S135">SUM(IF(MMULT($E135:$N135,$C$18:$F$27)&lt;$C$31:$F$31,1,"-"))+SUM(IF(MMULT($E135:$N135,$C$18:$F$27)&gt;$C$32:$F$32,1,"-"))</f>
        <v>0</v>
      </c>
      <c r="T135" s="27">
        <f t="shared" si="3"/>
        <v>0.99999999999999989</v>
      </c>
    </row>
    <row r="136" spans="2:20" x14ac:dyDescent="0.2">
      <c r="B136" s="20">
        <v>7.482179203906654E-2</v>
      </c>
      <c r="C136" s="21">
        <v>0.1089867804360103</v>
      </c>
      <c r="E136" s="20">
        <v>0.26057618974621671</v>
      </c>
      <c r="F136" s="25">
        <v>4.9582808828161266E-9</v>
      </c>
      <c r="G136" s="25">
        <v>8.1679481355979467E-9</v>
      </c>
      <c r="H136" s="25">
        <v>0.2394238161889557</v>
      </c>
      <c r="I136" s="25">
        <v>9.999998136326449E-2</v>
      </c>
      <c r="J136" s="25">
        <v>0.35869441284927123</v>
      </c>
      <c r="K136" s="25">
        <v>5.9427165977702799E-10</v>
      </c>
      <c r="L136" s="25">
        <v>4.8255092546547426E-9</v>
      </c>
      <c r="M136" s="25">
        <v>8.0694840147481819E-3</v>
      </c>
      <c r="N136" s="21">
        <v>3.3236097291533741E-2</v>
      </c>
      <c r="P136" s="27">
        <f t="array" ref="P136">SQRT(MMULT($E136:$N136,MMULT($G$5:$P$14,TRANSPOSE($E136:$N136))))-B136</f>
        <v>0</v>
      </c>
      <c r="Q136" s="27">
        <f t="shared" si="2"/>
        <v>0</v>
      </c>
      <c r="R136" s="27">
        <f t="array" ref="R136">SUM(IF($E136:$N136&lt;TRANSPOSE($D$5:$D$14),1,"-"))+SUM(IF($E136:$N136&gt;TRANSPOSE($E$5:$E$14),1,"-"))</f>
        <v>0</v>
      </c>
      <c r="S136" s="27">
        <f t="array" ref="S136">SUM(IF(MMULT($E136:$N136,$C$18:$F$27)&lt;$C$31:$F$31,1,"-"))+SUM(IF(MMULT($E136:$N136,$C$18:$F$27)&gt;$C$32:$F$32,1,"-"))</f>
        <v>0</v>
      </c>
      <c r="T136" s="27">
        <f t="shared" si="3"/>
        <v>1</v>
      </c>
    </row>
    <row r="137" spans="2:20" x14ac:dyDescent="0.2">
      <c r="B137" s="20">
        <v>7.4835247382482678E-2</v>
      </c>
      <c r="C137" s="21">
        <v>0.10917906690232392</v>
      </c>
      <c r="E137" s="20">
        <v>0.26091792537807618</v>
      </c>
      <c r="F137" s="25">
        <v>1.5812765383051012E-7</v>
      </c>
      <c r="G137" s="25">
        <v>2.4186243185985899E-7</v>
      </c>
      <c r="H137" s="25">
        <v>0.2390825118772425</v>
      </c>
      <c r="I137" s="25">
        <v>9.9999175445642144E-2</v>
      </c>
      <c r="J137" s="25">
        <v>0.36007033761254281</v>
      </c>
      <c r="K137" s="25">
        <v>1.8222333105792734E-8</v>
      </c>
      <c r="L137" s="25">
        <v>2.1018416207557488E-7</v>
      </c>
      <c r="M137" s="25">
        <v>5.6901554549507617E-3</v>
      </c>
      <c r="N137" s="21">
        <v>3.423926583496481E-2</v>
      </c>
      <c r="P137" s="27">
        <f t="array" ref="P137">SQRT(MMULT($E137:$N137,MMULT($G$5:$P$14,TRANSPOSE($E137:$N137))))-B137</f>
        <v>0</v>
      </c>
      <c r="Q137" s="27">
        <f t="shared" si="2"/>
        <v>0</v>
      </c>
      <c r="R137" s="27">
        <f t="array" ref="R137">SUM(IF($E137:$N137&lt;TRANSPOSE($D$5:$D$14),1,"-"))+SUM(IF($E137:$N137&gt;TRANSPOSE($E$5:$E$14),1,"-"))</f>
        <v>0</v>
      </c>
      <c r="S137" s="27">
        <f t="array" ref="S137">SUM(IF(MMULT($E137:$N137,$C$18:$F$27)&lt;$C$31:$F$31,1,"-"))+SUM(IF(MMULT($E137:$N137,$C$18:$F$27)&gt;$C$32:$F$32,1,"-"))</f>
        <v>0</v>
      </c>
      <c r="T137" s="27">
        <f t="shared" si="3"/>
        <v>1</v>
      </c>
    </row>
    <row r="138" spans="2:20" ht="13.5" thickBot="1" x14ac:dyDescent="0.25">
      <c r="B138" s="22" t="e">
        <v>#N/A</v>
      </c>
      <c r="C138" s="23" t="e">
        <v>#N/A</v>
      </c>
      <c r="E138" s="22" t="e">
        <v>#N/A</v>
      </c>
      <c r="F138" s="26" t="e">
        <v>#N/A</v>
      </c>
      <c r="G138" s="26" t="e">
        <v>#N/A</v>
      </c>
      <c r="H138" s="26" t="e">
        <v>#N/A</v>
      </c>
      <c r="I138" s="26" t="e">
        <v>#N/A</v>
      </c>
      <c r="J138" s="26" t="e">
        <v>#N/A</v>
      </c>
      <c r="K138" s="26" t="e">
        <v>#N/A</v>
      </c>
      <c r="L138" s="26" t="e">
        <v>#N/A</v>
      </c>
      <c r="M138" s="26" t="e">
        <v>#N/A</v>
      </c>
      <c r="N138" s="23" t="e">
        <v>#N/A</v>
      </c>
      <c r="P138" s="27" t="e">
        <f t="array" ref="P138">SQRT(MMULT($E138:$N138,MMULT($G$5:$P$14,TRANSPOSE($E138:$N138))))-B138</f>
        <v>#N/A</v>
      </c>
      <c r="Q138" s="27" t="e">
        <f t="shared" si="2"/>
        <v>#N/A</v>
      </c>
      <c r="R138" s="27" t="e">
        <f t="array" ref="R138">SUM(IF($E138:$N138&lt;TRANSPOSE($D$5:$D$14),1,"-"))+SUM(IF($E138:$N138&gt;TRANSPOSE($E$5:$E$14),1,"-"))</f>
        <v>#N/A</v>
      </c>
      <c r="S138" s="27" t="e">
        <f t="array" ref="S138">SUM(IF(MMULT($E138:$N138,$C$18:$F$27)&lt;$C$31:$F$31,1,"-"))+SUM(IF(MMULT($E138:$N138,$C$18:$F$27)&gt;$C$32:$F$32,1,"-"))</f>
        <v>#N/A</v>
      </c>
      <c r="T138" s="27" t="e">
        <f t="shared" si="3"/>
        <v>#N/A</v>
      </c>
    </row>
  </sheetData>
  <sortState ref="B38:C47">
    <sortCondition ref="B38:B47"/>
  </sortState>
  <conditionalFormatting sqref="A4:P4 A15:P17 A28:P30 G18:P27 A31:A32 C31:F32 C5:F14">
    <cfRule type="cellIs" dxfId="5" priority="6" operator="equal">
      <formula>0</formula>
    </cfRule>
  </conditionalFormatting>
  <conditionalFormatting sqref="G31:P31 G32:O32">
    <cfRule type="cellIs" dxfId="4" priority="5" operator="equal">
      <formula>0</formula>
    </cfRule>
  </conditionalFormatting>
  <conditionalFormatting sqref="A5:A14">
    <cfRule type="cellIs" dxfId="3" priority="4" operator="equal">
      <formula>0</formula>
    </cfRule>
  </conditionalFormatting>
  <conditionalFormatting sqref="A18:A27">
    <cfRule type="cellIs" dxfId="2" priority="3" operator="equal">
      <formula>0</formula>
    </cfRule>
  </conditionalFormatting>
  <conditionalFormatting sqref="B5:B14">
    <cfRule type="cellIs" dxfId="1" priority="2" operator="equal">
      <formula>0</formula>
    </cfRule>
  </conditionalFormatting>
  <conditionalFormatting sqref="G5:P14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2:P33"/>
  <sheetViews>
    <sheetView workbookViewId="0"/>
  </sheetViews>
  <sheetFormatPr defaultRowHeight="12.75" x14ac:dyDescent="0.2"/>
  <sheetData>
    <row r="2" spans="5:16" x14ac:dyDescent="0.2">
      <c r="E2">
        <v>-0.107</v>
      </c>
      <c r="F2">
        <v>-6.3E-2</v>
      </c>
      <c r="G2">
        <v>-0.13500000000000001</v>
      </c>
      <c r="H2">
        <v>-6.9000000000000006E-2</v>
      </c>
      <c r="I2">
        <v>-0.109</v>
      </c>
      <c r="J2">
        <v>-0.13500000000000001</v>
      </c>
      <c r="K2">
        <v>-3.6999999999999998E-2</v>
      </c>
      <c r="L2">
        <v>-5.6000000000000001E-2</v>
      </c>
      <c r="M2">
        <v>-6.3E-2</v>
      </c>
      <c r="N2">
        <v>-0.14299999999999999</v>
      </c>
    </row>
    <row r="4" spans="5:16" x14ac:dyDescent="0.2">
      <c r="E4">
        <v>1</v>
      </c>
      <c r="F4">
        <v>0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P4">
        <v>0.75</v>
      </c>
    </row>
    <row r="5" spans="5:16" x14ac:dyDescent="0.2"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P5">
        <v>0.1</v>
      </c>
    </row>
    <row r="6" spans="5:16" x14ac:dyDescent="0.2">
      <c r="E6">
        <v>1</v>
      </c>
      <c r="F6">
        <v>0</v>
      </c>
      <c r="G6">
        <v>1</v>
      </c>
      <c r="H6">
        <v>0</v>
      </c>
      <c r="I6">
        <v>0</v>
      </c>
      <c r="J6">
        <v>1</v>
      </c>
      <c r="K6">
        <v>0</v>
      </c>
      <c r="L6">
        <v>0</v>
      </c>
      <c r="M6">
        <v>1</v>
      </c>
      <c r="N6">
        <v>0</v>
      </c>
      <c r="P6">
        <v>0.9</v>
      </c>
    </row>
    <row r="7" spans="5:16" x14ac:dyDescent="0.2">
      <c r="E7">
        <v>0</v>
      </c>
      <c r="F7">
        <v>0</v>
      </c>
      <c r="G7">
        <v>0</v>
      </c>
      <c r="H7">
        <v>0</v>
      </c>
      <c r="I7">
        <v>0</v>
      </c>
      <c r="J7">
        <v>1</v>
      </c>
      <c r="K7">
        <v>1</v>
      </c>
      <c r="L7">
        <v>1</v>
      </c>
      <c r="M7">
        <v>1</v>
      </c>
      <c r="N7">
        <v>1</v>
      </c>
      <c r="P7">
        <v>0.4</v>
      </c>
    </row>
    <row r="8" spans="5:16" x14ac:dyDescent="0.2">
      <c r="E8">
        <v>-1</v>
      </c>
      <c r="F8">
        <v>0</v>
      </c>
      <c r="G8">
        <v>0</v>
      </c>
      <c r="H8">
        <v>0</v>
      </c>
      <c r="I8">
        <v>0</v>
      </c>
      <c r="J8">
        <v>-1</v>
      </c>
      <c r="K8">
        <v>0</v>
      </c>
      <c r="L8">
        <v>0</v>
      </c>
      <c r="M8">
        <v>0</v>
      </c>
      <c r="N8">
        <v>0</v>
      </c>
      <c r="P8">
        <v>0</v>
      </c>
    </row>
    <row r="9" spans="5:16" x14ac:dyDescent="0.2">
      <c r="E9">
        <v>0</v>
      </c>
      <c r="F9">
        <v>0</v>
      </c>
      <c r="G9">
        <v>0</v>
      </c>
      <c r="H9">
        <v>0</v>
      </c>
      <c r="I9">
        <v>-1</v>
      </c>
      <c r="J9">
        <v>0</v>
      </c>
      <c r="K9">
        <v>0</v>
      </c>
      <c r="L9">
        <v>0</v>
      </c>
      <c r="M9">
        <v>0</v>
      </c>
      <c r="N9">
        <v>0</v>
      </c>
      <c r="P9">
        <v>0</v>
      </c>
    </row>
    <row r="10" spans="5:16" x14ac:dyDescent="0.2">
      <c r="E10">
        <v>-1</v>
      </c>
      <c r="F10">
        <v>0</v>
      </c>
      <c r="G10">
        <v>-1</v>
      </c>
      <c r="H10">
        <v>0</v>
      </c>
      <c r="I10">
        <v>0</v>
      </c>
      <c r="J10">
        <v>-1</v>
      </c>
      <c r="K10">
        <v>0</v>
      </c>
      <c r="L10">
        <v>0</v>
      </c>
      <c r="M10">
        <v>-1</v>
      </c>
      <c r="N10">
        <v>0</v>
      </c>
      <c r="P10">
        <v>0</v>
      </c>
    </row>
    <row r="11" spans="5:16" x14ac:dyDescent="0.2">
      <c r="E11">
        <v>0</v>
      </c>
      <c r="F11">
        <v>0</v>
      </c>
      <c r="G11">
        <v>0</v>
      </c>
      <c r="H11">
        <v>0</v>
      </c>
      <c r="I11">
        <v>0</v>
      </c>
      <c r="J11">
        <v>-1</v>
      </c>
      <c r="K11">
        <v>-1</v>
      </c>
      <c r="L11">
        <v>-1</v>
      </c>
      <c r="M11">
        <v>-1</v>
      </c>
      <c r="N11">
        <v>-1</v>
      </c>
      <c r="P11">
        <v>0</v>
      </c>
    </row>
    <row r="12" spans="5:16" x14ac:dyDescent="0.2"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P12">
        <v>1</v>
      </c>
    </row>
    <row r="13" spans="5:16" x14ac:dyDescent="0.2">
      <c r="E13">
        <v>-1</v>
      </c>
      <c r="F13">
        <v>-1</v>
      </c>
      <c r="G13">
        <v>-1</v>
      </c>
      <c r="H13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P13">
        <v>-1</v>
      </c>
    </row>
    <row r="14" spans="5:16" x14ac:dyDescent="0.2"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P14">
        <v>0.75</v>
      </c>
    </row>
    <row r="15" spans="5:16" x14ac:dyDescent="0.2">
      <c r="E15">
        <v>0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P15">
        <v>0.75</v>
      </c>
    </row>
    <row r="16" spans="5:16" x14ac:dyDescent="0.2"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P16">
        <v>0.25</v>
      </c>
    </row>
    <row r="17" spans="5:16" x14ac:dyDescent="0.2">
      <c r="E17">
        <v>0</v>
      </c>
      <c r="F17">
        <v>0</v>
      </c>
      <c r="G17">
        <v>0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P17">
        <v>0.75</v>
      </c>
    </row>
    <row r="18" spans="5:16" x14ac:dyDescent="0.2">
      <c r="E18">
        <v>0</v>
      </c>
      <c r="F18">
        <v>0</v>
      </c>
      <c r="G18">
        <v>0</v>
      </c>
      <c r="H18">
        <v>0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P18">
        <v>0.1</v>
      </c>
    </row>
    <row r="19" spans="5:16" x14ac:dyDescent="0.2">
      <c r="E19">
        <v>0</v>
      </c>
      <c r="F19">
        <v>0</v>
      </c>
      <c r="G19">
        <v>0</v>
      </c>
      <c r="H19">
        <v>0</v>
      </c>
      <c r="I19">
        <v>0</v>
      </c>
      <c r="J19">
        <v>1</v>
      </c>
      <c r="K19">
        <v>0</v>
      </c>
      <c r="L19">
        <v>0</v>
      </c>
      <c r="M19">
        <v>0</v>
      </c>
      <c r="N19">
        <v>0</v>
      </c>
      <c r="P19">
        <v>0.75</v>
      </c>
    </row>
    <row r="20" spans="5:16" x14ac:dyDescent="0.2"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</v>
      </c>
      <c r="L20">
        <v>0</v>
      </c>
      <c r="M20">
        <v>0</v>
      </c>
      <c r="N20">
        <v>0</v>
      </c>
      <c r="P20">
        <v>0.75</v>
      </c>
    </row>
    <row r="21" spans="5:16" x14ac:dyDescent="0.2"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P21">
        <v>0.75</v>
      </c>
    </row>
    <row r="22" spans="5:16" x14ac:dyDescent="0.2"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P22">
        <v>0.25</v>
      </c>
    </row>
    <row r="23" spans="5:16" x14ac:dyDescent="0.2"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1</v>
      </c>
      <c r="P23">
        <v>0.75</v>
      </c>
    </row>
    <row r="24" spans="5:16" x14ac:dyDescent="0.2">
      <c r="E24">
        <v>-1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P24">
        <v>-9.9999999999999995E-7</v>
      </c>
    </row>
    <row r="25" spans="5:16" x14ac:dyDescent="0.2">
      <c r="E25">
        <v>0</v>
      </c>
      <c r="F25">
        <v>-1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P25">
        <v>-9.9999999999999995E-7</v>
      </c>
    </row>
    <row r="26" spans="5:16" x14ac:dyDescent="0.2">
      <c r="E26">
        <v>0</v>
      </c>
      <c r="F26">
        <v>0</v>
      </c>
      <c r="G26">
        <v>-1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P26">
        <v>-9.9999999999999995E-7</v>
      </c>
    </row>
    <row r="27" spans="5:16" x14ac:dyDescent="0.2">
      <c r="E27">
        <v>0</v>
      </c>
      <c r="F27">
        <v>0</v>
      </c>
      <c r="G27">
        <v>0</v>
      </c>
      <c r="H27">
        <v>-1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-9.9999999999999995E-7</v>
      </c>
    </row>
    <row r="28" spans="5:16" x14ac:dyDescent="0.2">
      <c r="E28">
        <v>0</v>
      </c>
      <c r="F28">
        <v>0</v>
      </c>
      <c r="G28">
        <v>0</v>
      </c>
      <c r="H28">
        <v>0</v>
      </c>
      <c r="I28">
        <v>-1</v>
      </c>
      <c r="J28">
        <v>0</v>
      </c>
      <c r="K28">
        <v>0</v>
      </c>
      <c r="L28">
        <v>0</v>
      </c>
      <c r="M28">
        <v>0</v>
      </c>
      <c r="N28">
        <v>0</v>
      </c>
      <c r="P28">
        <v>-9.9999999999999995E-7</v>
      </c>
    </row>
    <row r="29" spans="5:16" x14ac:dyDescent="0.2">
      <c r="E29">
        <v>0</v>
      </c>
      <c r="F29">
        <v>0</v>
      </c>
      <c r="G29">
        <v>0</v>
      </c>
      <c r="H29">
        <v>0</v>
      </c>
      <c r="I29">
        <v>0</v>
      </c>
      <c r="J29">
        <v>-1</v>
      </c>
      <c r="K29">
        <v>0</v>
      </c>
      <c r="L29">
        <v>0</v>
      </c>
      <c r="M29">
        <v>0</v>
      </c>
      <c r="N29">
        <v>0</v>
      </c>
      <c r="P29">
        <v>-9.9999999999999995E-7</v>
      </c>
    </row>
    <row r="30" spans="5:16" x14ac:dyDescent="0.2"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-1</v>
      </c>
      <c r="L30">
        <v>0</v>
      </c>
      <c r="M30">
        <v>0</v>
      </c>
      <c r="N30">
        <v>0</v>
      </c>
      <c r="P30">
        <v>-9.9999999999999995E-7</v>
      </c>
    </row>
    <row r="31" spans="5:16" x14ac:dyDescent="0.2"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-1</v>
      </c>
      <c r="M31">
        <v>0</v>
      </c>
      <c r="N31">
        <v>0</v>
      </c>
      <c r="P31">
        <v>-9.9999999999999995E-7</v>
      </c>
    </row>
    <row r="32" spans="5:16" x14ac:dyDescent="0.2"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-1</v>
      </c>
      <c r="N32">
        <v>0</v>
      </c>
      <c r="P32">
        <v>-9.9999999999999995E-7</v>
      </c>
    </row>
    <row r="33" spans="5:16" x14ac:dyDescent="0.2"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-1</v>
      </c>
      <c r="P33">
        <v>-9.9999999999999995E-7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M1048576"/>
    </sheetView>
  </sheetViews>
  <sheetFormatPr defaultRowHeight="12.75" x14ac:dyDescent="0.2"/>
  <cols>
    <col min="14" max="14" width="9.5703125" bestFit="1" customWidth="1"/>
    <col min="15" max="16" width="13.42578125" bestFit="1" customWidth="1"/>
    <col min="17" max="17" width="12.5703125" bestFit="1" customWidth="1"/>
    <col min="18" max="22" width="13.42578125" bestFit="1" customWidth="1"/>
    <col min="23" max="23" width="12.42578125" bestFit="1" customWidth="1"/>
    <col min="24" max="24" width="9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2013-07-29T13:58:47Z</dcterms:created>
  <dcterms:modified xsi:type="dcterms:W3CDTF">2018-06-29T09:44:53Z</dcterms:modified>
</cp:coreProperties>
</file>