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F31B1E61-CB25-42DD-A25F-65345E88B10F}" xr6:coauthVersionLast="36" xr6:coauthVersionMax="36" xr10:uidLastSave="{00000000-0000-0000-0000-000000000000}"/>
  <bookViews>
    <workbookView xWindow="480" yWindow="120" windowWidth="18195" windowHeight="12330" xr2:uid="{00000000-000D-0000-FFFF-FFFF00000000}"/>
  </bookViews>
  <sheets>
    <sheet name="Example1" sheetId="4" r:id="rId1"/>
    <sheet name="Sheet1" sheetId="15" r:id="rId2"/>
  </sheets>
  <functionGroups builtInGroupCount="19"/>
  <calcPr calcId="162913"/>
</workbook>
</file>

<file path=xl/calcChain.xml><?xml version="1.0" encoding="utf-8"?>
<calcChain xmlns="http://schemas.openxmlformats.org/spreadsheetml/2006/main">
  <c r="D41" i="4" l="1" a="1"/>
  <c r="D41" i="4" s="1"/>
  <c r="F41" i="4" a="1"/>
  <c r="J89" i="4" s="1"/>
  <c r="B41" i="4" a="1"/>
  <c r="C87" i="4" s="1"/>
  <c r="F38" i="4" a="1"/>
  <c r="N38" i="4" s="1"/>
  <c r="B38" i="4" a="1"/>
  <c r="F37" i="4" a="1"/>
  <c r="H37" i="4" s="1"/>
  <c r="B37" i="4"/>
  <c r="F36" i="4" a="1"/>
  <c r="H36" i="4" s="1"/>
  <c r="C36" i="4"/>
  <c r="F34" i="4" a="1"/>
  <c r="H34" i="4" s="1"/>
  <c r="B34" i="4" a="1"/>
  <c r="B34" i="4" s="1"/>
  <c r="F33" i="4" a="1"/>
  <c r="N33" i="4" s="1"/>
  <c r="B33" i="4" a="1"/>
  <c r="B33" i="4" s="1"/>
  <c r="F32" i="4" a="1"/>
  <c r="G32" i="4" s="1"/>
  <c r="B32" i="4" a="1"/>
  <c r="C32" i="4" s="1"/>
  <c r="F114" i="4" a="1"/>
  <c r="H114" i="4" l="1"/>
  <c r="I114" i="4"/>
  <c r="J114" i="4"/>
  <c r="K114" i="4"/>
  <c r="L114" i="4"/>
  <c r="M114" i="4"/>
  <c r="F114" i="4"/>
  <c r="N114" i="4"/>
  <c r="G114" i="4"/>
  <c r="O114" i="4"/>
  <c r="E87" i="4"/>
  <c r="E83" i="4"/>
  <c r="E79" i="4"/>
  <c r="E75" i="4"/>
  <c r="E71" i="4"/>
  <c r="E67" i="4"/>
  <c r="E63" i="4"/>
  <c r="E59" i="4"/>
  <c r="E55" i="4"/>
  <c r="E51" i="4"/>
  <c r="E47" i="4"/>
  <c r="E43" i="4"/>
  <c r="D87" i="4"/>
  <c r="D83" i="4"/>
  <c r="D79" i="4"/>
  <c r="D75" i="4"/>
  <c r="D71" i="4"/>
  <c r="D67" i="4"/>
  <c r="D63" i="4"/>
  <c r="D59" i="4"/>
  <c r="D55" i="4"/>
  <c r="D51" i="4"/>
  <c r="D47" i="4"/>
  <c r="D43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D90" i="4"/>
  <c r="D86" i="4"/>
  <c r="D82" i="4"/>
  <c r="D78" i="4"/>
  <c r="D74" i="4"/>
  <c r="D70" i="4"/>
  <c r="D66" i="4"/>
  <c r="D62" i="4"/>
  <c r="D58" i="4"/>
  <c r="D54" i="4"/>
  <c r="D50" i="4"/>
  <c r="D46" i="4"/>
  <c r="D42" i="4"/>
  <c r="E84" i="4"/>
  <c r="E72" i="4"/>
  <c r="E64" i="4"/>
  <c r="E56" i="4"/>
  <c r="E44" i="4"/>
  <c r="D84" i="4"/>
  <c r="D76" i="4"/>
  <c r="D68" i="4"/>
  <c r="D60" i="4"/>
  <c r="D52" i="4"/>
  <c r="D48" i="4"/>
  <c r="E89" i="4"/>
  <c r="E85" i="4"/>
  <c r="E81" i="4"/>
  <c r="E77" i="4"/>
  <c r="E73" i="4"/>
  <c r="E69" i="4"/>
  <c r="E65" i="4"/>
  <c r="E61" i="4"/>
  <c r="E57" i="4"/>
  <c r="E53" i="4"/>
  <c r="E49" i="4"/>
  <c r="E45" i="4"/>
  <c r="E41" i="4"/>
  <c r="E88" i="4"/>
  <c r="E80" i="4"/>
  <c r="E76" i="4"/>
  <c r="E68" i="4"/>
  <c r="E60" i="4"/>
  <c r="E52" i="4"/>
  <c r="E48" i="4"/>
  <c r="D88" i="4"/>
  <c r="D80" i="4"/>
  <c r="D72" i="4"/>
  <c r="D64" i="4"/>
  <c r="D56" i="4"/>
  <c r="D44" i="4"/>
  <c r="D89" i="4"/>
  <c r="D85" i="4"/>
  <c r="D81" i="4"/>
  <c r="D77" i="4"/>
  <c r="D73" i="4"/>
  <c r="D69" i="4"/>
  <c r="D65" i="4"/>
  <c r="D61" i="4"/>
  <c r="D57" i="4"/>
  <c r="D53" i="4"/>
  <c r="D49" i="4"/>
  <c r="D45" i="4"/>
  <c r="J32" i="4"/>
  <c r="C34" i="4"/>
  <c r="O33" i="4"/>
  <c r="N37" i="4"/>
  <c r="C67" i="4"/>
  <c r="J52" i="4"/>
  <c r="N87" i="4"/>
  <c r="C73" i="4"/>
  <c r="O54" i="4"/>
  <c r="J57" i="4"/>
  <c r="G60" i="4"/>
  <c r="N42" i="4"/>
  <c r="L63" i="4"/>
  <c r="G45" i="4"/>
  <c r="K67" i="4"/>
  <c r="H33" i="4"/>
  <c r="I34" i="4"/>
  <c r="F37" i="4"/>
  <c r="F34" i="4"/>
  <c r="I33" i="4"/>
  <c r="K34" i="4"/>
  <c r="I37" i="4"/>
  <c r="C49" i="4"/>
  <c r="L47" i="4"/>
  <c r="F72" i="4"/>
  <c r="L33" i="4"/>
  <c r="L34" i="4"/>
  <c r="K37" i="4"/>
  <c r="B51" i="4"/>
  <c r="G50" i="4"/>
  <c r="H78" i="4"/>
  <c r="M32" i="4"/>
  <c r="O32" i="4"/>
  <c r="F32" i="4"/>
  <c r="L32" i="4"/>
  <c r="K32" i="4"/>
  <c r="I32" i="4"/>
  <c r="H32" i="4"/>
  <c r="N32" i="4"/>
  <c r="C38" i="4"/>
  <c r="B38" i="4"/>
  <c r="M38" i="4"/>
  <c r="K38" i="4"/>
  <c r="H38" i="4"/>
  <c r="F38" i="4"/>
  <c r="L38" i="4"/>
  <c r="F43" i="4"/>
  <c r="L45" i="4"/>
  <c r="N47" i="4"/>
  <c r="J50" i="4"/>
  <c r="O52" i="4"/>
  <c r="H55" i="4"/>
  <c r="M57" i="4"/>
  <c r="N60" i="4"/>
  <c r="F64" i="4"/>
  <c r="F68" i="4"/>
  <c r="G73" i="4"/>
  <c r="F79" i="4"/>
  <c r="L88" i="4"/>
  <c r="J33" i="4"/>
  <c r="J34" i="4"/>
  <c r="C51" i="4"/>
  <c r="B75" i="4"/>
  <c r="F41" i="4"/>
  <c r="I43" i="4"/>
  <c r="N45" i="4"/>
  <c r="I48" i="4"/>
  <c r="L50" i="4"/>
  <c r="G53" i="4"/>
  <c r="L55" i="4"/>
  <c r="O57" i="4"/>
  <c r="G61" i="4"/>
  <c r="L64" i="4"/>
  <c r="I68" i="4"/>
  <c r="L73" i="4"/>
  <c r="L80" i="4"/>
  <c r="C57" i="4"/>
  <c r="C75" i="4"/>
  <c r="H41" i="4"/>
  <c r="M43" i="4"/>
  <c r="F46" i="4"/>
  <c r="K48" i="4"/>
  <c r="F51" i="4"/>
  <c r="I53" i="4"/>
  <c r="N55" i="4"/>
  <c r="J58" i="4"/>
  <c r="J61" i="4"/>
  <c r="O64" i="4"/>
  <c r="G69" i="4"/>
  <c r="H74" i="4"/>
  <c r="J81" i="4"/>
  <c r="B59" i="4"/>
  <c r="C81" i="4"/>
  <c r="J41" i="4"/>
  <c r="F44" i="4"/>
  <c r="K46" i="4"/>
  <c r="N48" i="4"/>
  <c r="I51" i="4"/>
  <c r="N53" i="4"/>
  <c r="G56" i="4"/>
  <c r="L58" i="4"/>
  <c r="F62" i="4"/>
  <c r="H65" i="4"/>
  <c r="L69" i="4"/>
  <c r="H75" i="4"/>
  <c r="H82" i="4"/>
  <c r="N34" i="4"/>
  <c r="J37" i="4"/>
  <c r="C41" i="4"/>
  <c r="C59" i="4"/>
  <c r="B83" i="4"/>
  <c r="O41" i="4"/>
  <c r="H44" i="4"/>
  <c r="M46" i="4"/>
  <c r="H49" i="4"/>
  <c r="K51" i="4"/>
  <c r="F54" i="4"/>
  <c r="K56" i="4"/>
  <c r="N58" i="4"/>
  <c r="J62" i="4"/>
  <c r="O65" i="4"/>
  <c r="O69" i="4"/>
  <c r="N75" i="4"/>
  <c r="N83" i="4"/>
  <c r="B43" i="4"/>
  <c r="C65" i="4"/>
  <c r="C83" i="4"/>
  <c r="G42" i="4"/>
  <c r="L44" i="4"/>
  <c r="O46" i="4"/>
  <c r="J49" i="4"/>
  <c r="F52" i="4"/>
  <c r="H54" i="4"/>
  <c r="N56" i="4"/>
  <c r="K59" i="4"/>
  <c r="M62" i="4"/>
  <c r="J66" i="4"/>
  <c r="F71" i="4"/>
  <c r="I76" i="4"/>
  <c r="L84" i="4"/>
  <c r="G33" i="4"/>
  <c r="L37" i="4"/>
  <c r="C43" i="4"/>
  <c r="B67" i="4"/>
  <c r="C89" i="4"/>
  <c r="J42" i="4"/>
  <c r="O44" i="4"/>
  <c r="J47" i="4"/>
  <c r="M49" i="4"/>
  <c r="H52" i="4"/>
  <c r="M54" i="4"/>
  <c r="F57" i="4"/>
  <c r="N59" i="4"/>
  <c r="I63" i="4"/>
  <c r="M66" i="4"/>
  <c r="K71" i="4"/>
  <c r="J77" i="4"/>
  <c r="J85" i="4"/>
  <c r="B32" i="4"/>
  <c r="L36" i="4"/>
  <c r="K36" i="4"/>
  <c r="I36" i="4"/>
  <c r="O36" i="4"/>
  <c r="N36" i="4"/>
  <c r="M36" i="4"/>
  <c r="J36" i="4"/>
  <c r="F36" i="4"/>
  <c r="G36" i="4"/>
  <c r="C44" i="4"/>
  <c r="C52" i="4"/>
  <c r="C60" i="4"/>
  <c r="C68" i="4"/>
  <c r="C76" i="4"/>
  <c r="C84" i="4"/>
  <c r="C33" i="4"/>
  <c r="C45" i="4"/>
  <c r="C53" i="4"/>
  <c r="C61" i="4"/>
  <c r="C69" i="4"/>
  <c r="C77" i="4"/>
  <c r="C85" i="4"/>
  <c r="B47" i="4"/>
  <c r="B55" i="4"/>
  <c r="B63" i="4"/>
  <c r="B71" i="4"/>
  <c r="B79" i="4"/>
  <c r="B87" i="4"/>
  <c r="C47" i="4"/>
  <c r="C55" i="4"/>
  <c r="C63" i="4"/>
  <c r="C71" i="4"/>
  <c r="C79" i="4"/>
  <c r="B88" i="4"/>
  <c r="B84" i="4"/>
  <c r="B80" i="4"/>
  <c r="B76" i="4"/>
  <c r="B72" i="4"/>
  <c r="B68" i="4"/>
  <c r="B64" i="4"/>
  <c r="B60" i="4"/>
  <c r="B56" i="4"/>
  <c r="B52" i="4"/>
  <c r="B48" i="4"/>
  <c r="B44" i="4"/>
  <c r="C90" i="4"/>
  <c r="C86" i="4"/>
  <c r="C82" i="4"/>
  <c r="C78" i="4"/>
  <c r="C74" i="4"/>
  <c r="C70" i="4"/>
  <c r="C66" i="4"/>
  <c r="C62" i="4"/>
  <c r="C58" i="4"/>
  <c r="C54" i="4"/>
  <c r="C50" i="4"/>
  <c r="C46" i="4"/>
  <c r="C42" i="4"/>
  <c r="B90" i="4"/>
  <c r="B86" i="4"/>
  <c r="B82" i="4"/>
  <c r="B78" i="4"/>
  <c r="B74" i="4"/>
  <c r="B70" i="4"/>
  <c r="B66" i="4"/>
  <c r="B62" i="4"/>
  <c r="B58" i="4"/>
  <c r="B54" i="4"/>
  <c r="B50" i="4"/>
  <c r="B46" i="4"/>
  <c r="B42" i="4"/>
  <c r="B89" i="4"/>
  <c r="B85" i="4"/>
  <c r="B81" i="4"/>
  <c r="B77" i="4"/>
  <c r="B73" i="4"/>
  <c r="B69" i="4"/>
  <c r="B65" i="4"/>
  <c r="B61" i="4"/>
  <c r="B57" i="4"/>
  <c r="B53" i="4"/>
  <c r="B49" i="4"/>
  <c r="B45" i="4"/>
  <c r="B41" i="4"/>
  <c r="C48" i="4"/>
  <c r="C56" i="4"/>
  <c r="C64" i="4"/>
  <c r="C72" i="4"/>
  <c r="C80" i="4"/>
  <c r="C88" i="4"/>
  <c r="K33" i="4"/>
  <c r="M34" i="4"/>
  <c r="M37" i="4"/>
  <c r="G38" i="4"/>
  <c r="O38" i="4"/>
  <c r="I41" i="4"/>
  <c r="H42" i="4"/>
  <c r="H43" i="4"/>
  <c r="G44" i="4"/>
  <c r="F45" i="4"/>
  <c r="O45" i="4"/>
  <c r="N46" i="4"/>
  <c r="M47" i="4"/>
  <c r="L48" i="4"/>
  <c r="L49" i="4"/>
  <c r="K50" i="4"/>
  <c r="J51" i="4"/>
  <c r="I52" i="4"/>
  <c r="H53" i="4"/>
  <c r="G54" i="4"/>
  <c r="F55" i="4"/>
  <c r="F56" i="4"/>
  <c r="O56" i="4"/>
  <c r="N57" i="4"/>
  <c r="M58" i="4"/>
  <c r="F60" i="4"/>
  <c r="H61" i="4"/>
  <c r="K62" i="4"/>
  <c r="N63" i="4"/>
  <c r="G65" i="4"/>
  <c r="K66" i="4"/>
  <c r="G68" i="4"/>
  <c r="M69" i="4"/>
  <c r="N71" i="4"/>
  <c r="O73" i="4"/>
  <c r="F76" i="4"/>
  <c r="J78" i="4"/>
  <c r="L81" i="4"/>
  <c r="N84" i="4"/>
  <c r="F88" i="4"/>
  <c r="M33" i="4"/>
  <c r="G34" i="4"/>
  <c r="O34" i="4"/>
  <c r="G37" i="4"/>
  <c r="O37" i="4"/>
  <c r="I38" i="4"/>
  <c r="L41" i="4"/>
  <c r="K42" i="4"/>
  <c r="J43" i="4"/>
  <c r="I44" i="4"/>
  <c r="H45" i="4"/>
  <c r="G46" i="4"/>
  <c r="F47" i="4"/>
  <c r="F48" i="4"/>
  <c r="O48" i="4"/>
  <c r="N49" i="4"/>
  <c r="M50" i="4"/>
  <c r="L51" i="4"/>
  <c r="K52" i="4"/>
  <c r="J53" i="4"/>
  <c r="J54" i="4"/>
  <c r="I55" i="4"/>
  <c r="H56" i="4"/>
  <c r="G57" i="4"/>
  <c r="F58" i="4"/>
  <c r="F59" i="4"/>
  <c r="I60" i="4"/>
  <c r="L61" i="4"/>
  <c r="N62" i="4"/>
  <c r="G64" i="4"/>
  <c r="J65" i="4"/>
  <c r="F67" i="4"/>
  <c r="L68" i="4"/>
  <c r="H70" i="4"/>
  <c r="I72" i="4"/>
  <c r="J74" i="4"/>
  <c r="L76" i="4"/>
  <c r="H79" i="4"/>
  <c r="J82" i="4"/>
  <c r="L85" i="4"/>
  <c r="N88" i="4"/>
  <c r="F33" i="4"/>
  <c r="J38" i="4"/>
  <c r="M41" i="4"/>
  <c r="L42" i="4"/>
  <c r="K43" i="4"/>
  <c r="J44" i="4"/>
  <c r="I45" i="4"/>
  <c r="H46" i="4"/>
  <c r="H47" i="4"/>
  <c r="G48" i="4"/>
  <c r="F49" i="4"/>
  <c r="O49" i="4"/>
  <c r="N50" i="4"/>
  <c r="M51" i="4"/>
  <c r="L52" i="4"/>
  <c r="L53" i="4"/>
  <c r="K54" i="4"/>
  <c r="J55" i="4"/>
  <c r="I56" i="4"/>
  <c r="H57" i="4"/>
  <c r="G58" i="4"/>
  <c r="H59" i="4"/>
  <c r="J60" i="4"/>
  <c r="M61" i="4"/>
  <c r="F63" i="4"/>
  <c r="I64" i="4"/>
  <c r="L65" i="4"/>
  <c r="H67" i="4"/>
  <c r="N68" i="4"/>
  <c r="J70" i="4"/>
  <c r="L72" i="4"/>
  <c r="M74" i="4"/>
  <c r="N76" i="4"/>
  <c r="N79" i="4"/>
  <c r="F83" i="4"/>
  <c r="H86" i="4"/>
  <c r="I90" i="4"/>
  <c r="K89" i="4"/>
  <c r="M88" i="4"/>
  <c r="O87" i="4"/>
  <c r="G87" i="4"/>
  <c r="I86" i="4"/>
  <c r="K85" i="4"/>
  <c r="M84" i="4"/>
  <c r="O83" i="4"/>
  <c r="G83" i="4"/>
  <c r="I82" i="4"/>
  <c r="K81" i="4"/>
  <c r="M80" i="4"/>
  <c r="O79" i="4"/>
  <c r="G79" i="4"/>
  <c r="I78" i="4"/>
  <c r="K77" i="4"/>
  <c r="M76" i="4"/>
  <c r="O75" i="4"/>
  <c r="G75" i="4"/>
  <c r="I74" i="4"/>
  <c r="K73" i="4"/>
  <c r="M72" i="4"/>
  <c r="O71" i="4"/>
  <c r="G71" i="4"/>
  <c r="I70" i="4"/>
  <c r="K69" i="4"/>
  <c r="M68" i="4"/>
  <c r="O67" i="4"/>
  <c r="G67" i="4"/>
  <c r="I66" i="4"/>
  <c r="K65" i="4"/>
  <c r="M64" i="4"/>
  <c r="O63" i="4"/>
  <c r="G63" i="4"/>
  <c r="I62" i="4"/>
  <c r="K61" i="4"/>
  <c r="M60" i="4"/>
  <c r="O59" i="4"/>
  <c r="G59" i="4"/>
  <c r="I58" i="4"/>
  <c r="K57" i="4"/>
  <c r="M56" i="4"/>
  <c r="O55" i="4"/>
  <c r="G55" i="4"/>
  <c r="I54" i="4"/>
  <c r="K53" i="4"/>
  <c r="M52" i="4"/>
  <c r="O51" i="4"/>
  <c r="G51" i="4"/>
  <c r="I50" i="4"/>
  <c r="K49" i="4"/>
  <c r="M48" i="4"/>
  <c r="O47" i="4"/>
  <c r="G47" i="4"/>
  <c r="I46" i="4"/>
  <c r="K45" i="4"/>
  <c r="M44" i="4"/>
  <c r="O43" i="4"/>
  <c r="G43" i="4"/>
  <c r="I42" i="4"/>
  <c r="K41" i="4"/>
  <c r="O90" i="4"/>
  <c r="G90" i="4"/>
  <c r="I89" i="4"/>
  <c r="K88" i="4"/>
  <c r="M87" i="4"/>
  <c r="O86" i="4"/>
  <c r="G86" i="4"/>
  <c r="I85" i="4"/>
  <c r="K84" i="4"/>
  <c r="M83" i="4"/>
  <c r="O82" i="4"/>
  <c r="G82" i="4"/>
  <c r="I81" i="4"/>
  <c r="K80" i="4"/>
  <c r="M79" i="4"/>
  <c r="O78" i="4"/>
  <c r="G78" i="4"/>
  <c r="I77" i="4"/>
  <c r="K76" i="4"/>
  <c r="M75" i="4"/>
  <c r="O74" i="4"/>
  <c r="G74" i="4"/>
  <c r="I73" i="4"/>
  <c r="K72" i="4"/>
  <c r="M71" i="4"/>
  <c r="O70" i="4"/>
  <c r="G70" i="4"/>
  <c r="I69" i="4"/>
  <c r="K68" i="4"/>
  <c r="M67" i="4"/>
  <c r="O66" i="4"/>
  <c r="G66" i="4"/>
  <c r="I65" i="4"/>
  <c r="K64" i="4"/>
  <c r="M63" i="4"/>
  <c r="O62" i="4"/>
  <c r="G62" i="4"/>
  <c r="I61" i="4"/>
  <c r="K60" i="4"/>
  <c r="M59" i="4"/>
  <c r="O58" i="4"/>
  <c r="N90" i="4"/>
  <c r="F90" i="4"/>
  <c r="H89" i="4"/>
  <c r="J88" i="4"/>
  <c r="L87" i="4"/>
  <c r="N86" i="4"/>
  <c r="F86" i="4"/>
  <c r="H85" i="4"/>
  <c r="J84" i="4"/>
  <c r="L83" i="4"/>
  <c r="N82" i="4"/>
  <c r="F82" i="4"/>
  <c r="H81" i="4"/>
  <c r="J80" i="4"/>
  <c r="L79" i="4"/>
  <c r="N78" i="4"/>
  <c r="F78" i="4"/>
  <c r="H77" i="4"/>
  <c r="J76" i="4"/>
  <c r="L75" i="4"/>
  <c r="N74" i="4"/>
  <c r="F74" i="4"/>
  <c r="H73" i="4"/>
  <c r="J72" i="4"/>
  <c r="L71" i="4"/>
  <c r="N70" i="4"/>
  <c r="F70" i="4"/>
  <c r="H69" i="4"/>
  <c r="J68" i="4"/>
  <c r="L67" i="4"/>
  <c r="N66" i="4"/>
  <c r="F66" i="4"/>
  <c r="M90" i="4"/>
  <c r="O89" i="4"/>
  <c r="G89" i="4"/>
  <c r="I88" i="4"/>
  <c r="K87" i="4"/>
  <c r="M86" i="4"/>
  <c r="O85" i="4"/>
  <c r="G85" i="4"/>
  <c r="I84" i="4"/>
  <c r="K83" i="4"/>
  <c r="M82" i="4"/>
  <c r="O81" i="4"/>
  <c r="G81" i="4"/>
  <c r="I80" i="4"/>
  <c r="K79" i="4"/>
  <c r="M78" i="4"/>
  <c r="O77" i="4"/>
  <c r="L90" i="4"/>
  <c r="N89" i="4"/>
  <c r="F89" i="4"/>
  <c r="H88" i="4"/>
  <c r="J87" i="4"/>
  <c r="L86" i="4"/>
  <c r="N85" i="4"/>
  <c r="F85" i="4"/>
  <c r="H84" i="4"/>
  <c r="J83" i="4"/>
  <c r="L82" i="4"/>
  <c r="N81" i="4"/>
  <c r="F81" i="4"/>
  <c r="H80" i="4"/>
  <c r="J79" i="4"/>
  <c r="L78" i="4"/>
  <c r="N77" i="4"/>
  <c r="F77" i="4"/>
  <c r="H76" i="4"/>
  <c r="J75" i="4"/>
  <c r="L74" i="4"/>
  <c r="N73" i="4"/>
  <c r="F73" i="4"/>
  <c r="H72" i="4"/>
  <c r="J71" i="4"/>
  <c r="L70" i="4"/>
  <c r="N69" i="4"/>
  <c r="F69" i="4"/>
  <c r="H68" i="4"/>
  <c r="J67" i="4"/>
  <c r="L66" i="4"/>
  <c r="N65" i="4"/>
  <c r="F65" i="4"/>
  <c r="H64" i="4"/>
  <c r="J63" i="4"/>
  <c r="L62" i="4"/>
  <c r="N61" i="4"/>
  <c r="F61" i="4"/>
  <c r="H60" i="4"/>
  <c r="J59" i="4"/>
  <c r="K90" i="4"/>
  <c r="M89" i="4"/>
  <c r="O88" i="4"/>
  <c r="G88" i="4"/>
  <c r="I87" i="4"/>
  <c r="K86" i="4"/>
  <c r="M85" i="4"/>
  <c r="O84" i="4"/>
  <c r="G84" i="4"/>
  <c r="I83" i="4"/>
  <c r="K82" i="4"/>
  <c r="M81" i="4"/>
  <c r="O80" i="4"/>
  <c r="G80" i="4"/>
  <c r="I79" i="4"/>
  <c r="K78" i="4"/>
  <c r="M77" i="4"/>
  <c r="O76" i="4"/>
  <c r="G76" i="4"/>
  <c r="I75" i="4"/>
  <c r="K74" i="4"/>
  <c r="M73" i="4"/>
  <c r="O72" i="4"/>
  <c r="G72" i="4"/>
  <c r="I71" i="4"/>
  <c r="K70" i="4"/>
  <c r="N41" i="4"/>
  <c r="M42" i="4"/>
  <c r="L43" i="4"/>
  <c r="K44" i="4"/>
  <c r="J45" i="4"/>
  <c r="J46" i="4"/>
  <c r="I47" i="4"/>
  <c r="H48" i="4"/>
  <c r="G49" i="4"/>
  <c r="F50" i="4"/>
  <c r="O50" i="4"/>
  <c r="N51" i="4"/>
  <c r="N52" i="4"/>
  <c r="M53" i="4"/>
  <c r="L54" i="4"/>
  <c r="K55" i="4"/>
  <c r="J56" i="4"/>
  <c r="I57" i="4"/>
  <c r="H58" i="4"/>
  <c r="I59" i="4"/>
  <c r="L60" i="4"/>
  <c r="O61" i="4"/>
  <c r="H63" i="4"/>
  <c r="J64" i="4"/>
  <c r="M65" i="4"/>
  <c r="I67" i="4"/>
  <c r="O68" i="4"/>
  <c r="M70" i="4"/>
  <c r="N72" i="4"/>
  <c r="F75" i="4"/>
  <c r="G77" i="4"/>
  <c r="F80" i="4"/>
  <c r="H83" i="4"/>
  <c r="J86" i="4"/>
  <c r="L89" i="4"/>
  <c r="F87" i="4"/>
  <c r="H90" i="4"/>
  <c r="G41" i="4"/>
  <c r="F42" i="4"/>
  <c r="O42" i="4"/>
  <c r="N43" i="4"/>
  <c r="N44" i="4"/>
  <c r="M45" i="4"/>
  <c r="L46" i="4"/>
  <c r="K47" i="4"/>
  <c r="J48" i="4"/>
  <c r="I49" i="4"/>
  <c r="H50" i="4"/>
  <c r="H51" i="4"/>
  <c r="G52" i="4"/>
  <c r="F53" i="4"/>
  <c r="O53" i="4"/>
  <c r="N54" i="4"/>
  <c r="M55" i="4"/>
  <c r="L56" i="4"/>
  <c r="L57" i="4"/>
  <c r="K58" i="4"/>
  <c r="L59" i="4"/>
  <c r="O60" i="4"/>
  <c r="H62" i="4"/>
  <c r="K63" i="4"/>
  <c r="N64" i="4"/>
  <c r="H66" i="4"/>
  <c r="N67" i="4"/>
  <c r="J69" i="4"/>
  <c r="H71" i="4"/>
  <c r="J73" i="4"/>
  <c r="K75" i="4"/>
  <c r="L77" i="4"/>
  <c r="N80" i="4"/>
  <c r="F84" i="4"/>
  <c r="H87" i="4"/>
  <c r="J90" i="4"/>
  <c r="D127" i="4" l="1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36" i="4" l="1"/>
  <c r="D133" i="4"/>
  <c r="D141" i="4"/>
  <c r="D134" i="4"/>
  <c r="D142" i="4"/>
  <c r="D135" i="4"/>
  <c r="D143" i="4"/>
  <c r="D137" i="4"/>
  <c r="D130" i="4"/>
  <c r="D138" i="4"/>
  <c r="D144" i="4"/>
  <c r="D131" i="4"/>
  <c r="D139" i="4"/>
  <c r="D132" i="4"/>
  <c r="D140" i="4"/>
  <c r="D154" i="4" l="1"/>
  <c r="D157" i="4"/>
  <c r="D160" i="4"/>
  <c r="D149" i="4"/>
  <c r="D156" i="4"/>
  <c r="D159" i="4"/>
  <c r="D152" i="4"/>
  <c r="D148" i="4"/>
  <c r="D151" i="4"/>
  <c r="D161" i="4"/>
  <c r="D158" i="4"/>
  <c r="D155" i="4"/>
  <c r="D150" i="4"/>
  <c r="D147" i="4"/>
  <c r="D153" i="4"/>
  <c r="D112" i="4"/>
  <c r="D111" i="4"/>
  <c r="E111" i="4"/>
  <c r="E128" i="4" s="1"/>
  <c r="E145" i="4" s="1"/>
  <c r="E162" i="4" s="1"/>
  <c r="E95" i="4"/>
  <c r="D165" i="4" l="1"/>
  <c r="D164" i="4"/>
  <c r="E112" i="4"/>
  <c r="E96" i="4"/>
  <c r="D128" i="4"/>
  <c r="D129" i="4"/>
  <c r="E129" i="4" l="1"/>
  <c r="E97" i="4"/>
  <c r="E113" i="4"/>
  <c r="D145" i="4"/>
  <c r="D146" i="4"/>
  <c r="B129" i="4" l="1" a="1"/>
  <c r="B129" i="4" s="1"/>
  <c r="R129" i="4" s="1"/>
  <c r="E146" i="4"/>
  <c r="E130" i="4"/>
  <c r="E98" i="4"/>
  <c r="E114" i="4"/>
  <c r="D163" i="4"/>
  <c r="D162" i="4"/>
  <c r="U128" i="4" a="1"/>
  <c r="U128" i="4" s="1"/>
  <c r="T128" i="4" a="1"/>
  <c r="T128" i="4" s="1"/>
  <c r="S128" i="4"/>
  <c r="C128" i="4"/>
  <c r="Q128" i="4" s="1"/>
  <c r="B128" i="4" a="1"/>
  <c r="B128" i="4" s="1"/>
  <c r="R128" i="4" s="1"/>
  <c r="C129" i="4" l="1"/>
  <c r="Q129" i="4" s="1"/>
  <c r="S129" i="4"/>
  <c r="T129" i="4" a="1"/>
  <c r="T129" i="4" s="1"/>
  <c r="U129" i="4" a="1"/>
  <c r="U129" i="4" s="1"/>
  <c r="E163" i="4"/>
  <c r="S145" i="4"/>
  <c r="C145" i="4"/>
  <c r="Q145" i="4" s="1"/>
  <c r="B145" i="4" a="1"/>
  <c r="B145" i="4" s="1"/>
  <c r="R145" i="4" s="1"/>
  <c r="U145" i="4" a="1"/>
  <c r="U145" i="4" s="1"/>
  <c r="T145" i="4" a="1"/>
  <c r="T145" i="4" s="1"/>
  <c r="T113" i="4" a="1"/>
  <c r="T113" i="4" s="1"/>
  <c r="C113" i="4"/>
  <c r="Q113" i="4" s="1"/>
  <c r="S113" i="4"/>
  <c r="B113" i="4" a="1"/>
  <c r="B113" i="4" s="1"/>
  <c r="R113" i="4" s="1"/>
  <c r="U113" i="4" a="1"/>
  <c r="U113" i="4" s="1"/>
  <c r="E131" i="4"/>
  <c r="S146" i="4"/>
  <c r="C146" i="4"/>
  <c r="Q146" i="4" s="1"/>
  <c r="U146" i="4" a="1"/>
  <c r="U146" i="4" s="1"/>
  <c r="B146" i="4" a="1"/>
  <c r="B146" i="4" s="1"/>
  <c r="R146" i="4" s="1"/>
  <c r="T146" i="4" a="1"/>
  <c r="T146" i="4" s="1"/>
  <c r="E99" i="4"/>
  <c r="E115" i="4"/>
  <c r="E147" i="4"/>
  <c r="U60" i="4" a="1"/>
  <c r="U60" i="4" s="1"/>
  <c r="T60" i="4" a="1"/>
  <c r="T60" i="4" s="1"/>
  <c r="U67" i="4" a="1"/>
  <c r="U67" i="4" s="1"/>
  <c r="T67" i="4" a="1"/>
  <c r="T67" i="4" s="1"/>
  <c r="T54" i="4" a="1"/>
  <c r="T54" i="4" s="1"/>
  <c r="U54" i="4" a="1"/>
  <c r="U54" i="4" s="1"/>
  <c r="U75" i="4" a="1"/>
  <c r="U75" i="4" s="1"/>
  <c r="T75" i="4" a="1"/>
  <c r="T75" i="4" s="1"/>
  <c r="U43" i="4" a="1"/>
  <c r="U43" i="4" s="1"/>
  <c r="T43" i="4" a="1"/>
  <c r="T43" i="4" s="1"/>
  <c r="U69" i="4" a="1"/>
  <c r="U69" i="4" s="1"/>
  <c r="T69" i="4" a="1"/>
  <c r="T69" i="4" s="1"/>
  <c r="T38" i="4" a="1"/>
  <c r="T38" i="4" s="1"/>
  <c r="U38" i="4" a="1"/>
  <c r="U38" i="4" s="1"/>
  <c r="U62" i="4" a="1"/>
  <c r="U62" i="4" s="1"/>
  <c r="T62" i="4" a="1"/>
  <c r="T62" i="4" s="1"/>
  <c r="U74" i="4" a="1"/>
  <c r="U74" i="4" s="1"/>
  <c r="T74" i="4" a="1"/>
  <c r="T74" i="4" s="1"/>
  <c r="T55" i="4" a="1"/>
  <c r="T55" i="4" s="1"/>
  <c r="U55" i="4" a="1"/>
  <c r="U55" i="4" s="1"/>
  <c r="U81" i="4" a="1"/>
  <c r="U81" i="4" s="1"/>
  <c r="T81" i="4" a="1"/>
  <c r="T81" i="4" s="1"/>
  <c r="T49" i="4" a="1"/>
  <c r="T49" i="4" s="1"/>
  <c r="U49" i="4" a="1"/>
  <c r="U49" i="4" s="1"/>
  <c r="U96" i="4" a="1"/>
  <c r="U96" i="4" s="1"/>
  <c r="T96" i="4" a="1"/>
  <c r="T96" i="4" s="1"/>
  <c r="U61" i="4" a="1"/>
  <c r="U61" i="4" s="1"/>
  <c r="T61" i="4" a="1"/>
  <c r="T61" i="4" s="1"/>
  <c r="T84" i="4" a="1"/>
  <c r="T84" i="4" s="1"/>
  <c r="U84" i="4" a="1"/>
  <c r="U84" i="4" s="1"/>
  <c r="U44" i="4" a="1"/>
  <c r="U44" i="4" s="1"/>
  <c r="T44" i="4" a="1"/>
  <c r="T44" i="4" s="1"/>
  <c r="T56" i="4" a="1"/>
  <c r="T56" i="4" s="1"/>
  <c r="U56" i="4" a="1"/>
  <c r="U56" i="4" s="1"/>
  <c r="T79" i="4" a="1"/>
  <c r="T79" i="4" s="1"/>
  <c r="U79" i="4" a="1"/>
  <c r="U79" i="4" s="1"/>
  <c r="T47" i="4" a="1"/>
  <c r="T47" i="4" s="1"/>
  <c r="U47" i="4" a="1"/>
  <c r="U47" i="4" s="1"/>
  <c r="U73" i="4" a="1"/>
  <c r="U73" i="4" s="1"/>
  <c r="T73" i="4" a="1"/>
  <c r="T73" i="4" s="1"/>
  <c r="T41" i="4" a="1"/>
  <c r="T41" i="4" s="1"/>
  <c r="U41" i="4" a="1"/>
  <c r="U41" i="4" s="1"/>
  <c r="U97" i="4" a="1"/>
  <c r="U97" i="4" s="1"/>
  <c r="T97" i="4" a="1"/>
  <c r="T97" i="4" s="1"/>
  <c r="T78" i="4" a="1"/>
  <c r="T78" i="4" s="1"/>
  <c r="U78" i="4" a="1"/>
  <c r="U78" i="4" s="1"/>
  <c r="T46" i="4" a="1"/>
  <c r="T46" i="4" s="1"/>
  <c r="U46" i="4" a="1"/>
  <c r="U46" i="4" s="1"/>
  <c r="T95" i="4" a="1"/>
  <c r="T95" i="4" s="1"/>
  <c r="U95" i="4" a="1"/>
  <c r="U95" i="4" s="1"/>
  <c r="U86" i="4" a="1"/>
  <c r="U86" i="4" s="1"/>
  <c r="T86" i="4" a="1"/>
  <c r="T86" i="4" s="1"/>
  <c r="U50" i="4" a="1"/>
  <c r="U50" i="4" s="1"/>
  <c r="T50" i="4" a="1"/>
  <c r="T50" i="4" s="1"/>
  <c r="U59" i="4" a="1"/>
  <c r="U59" i="4" s="1"/>
  <c r="T59" i="4" a="1"/>
  <c r="T59" i="4" s="1"/>
  <c r="U85" i="4" a="1"/>
  <c r="U85" i="4" s="1"/>
  <c r="T85" i="4" a="1"/>
  <c r="T85" i="4" s="1"/>
  <c r="U53" i="4" a="1"/>
  <c r="U53" i="4" s="1"/>
  <c r="T53" i="4" a="1"/>
  <c r="T53" i="4" s="1"/>
  <c r="U32" i="4" a="1"/>
  <c r="U32" i="4" s="1"/>
  <c r="T32" i="4" a="1"/>
  <c r="T32" i="4" s="1"/>
  <c r="U34" i="4" a="1"/>
  <c r="U34" i="4" s="1"/>
  <c r="T34" i="4" a="1"/>
  <c r="T34" i="4" s="1"/>
  <c r="T70" i="4" a="1"/>
  <c r="T70" i="4" s="1"/>
  <c r="U70" i="4" a="1"/>
  <c r="U70" i="4" s="1"/>
  <c r="T90" i="4" a="1"/>
  <c r="T90" i="4" s="1"/>
  <c r="U90" i="4" a="1"/>
  <c r="U90" i="4" s="1"/>
  <c r="U68" i="4" a="1"/>
  <c r="U68" i="4" s="1"/>
  <c r="T68" i="4" a="1"/>
  <c r="T68" i="4" s="1"/>
  <c r="T48" i="4" a="1"/>
  <c r="T48" i="4" s="1"/>
  <c r="U48" i="4" a="1"/>
  <c r="U48" i="4" s="1"/>
  <c r="U72" i="4" a="1"/>
  <c r="U72" i="4" s="1"/>
  <c r="T72" i="4" a="1"/>
  <c r="T72" i="4" s="1"/>
  <c r="T71" i="4" a="1"/>
  <c r="T71" i="4" s="1"/>
  <c r="U71" i="4" a="1"/>
  <c r="U71" i="4" s="1"/>
  <c r="T65" i="4" a="1"/>
  <c r="T65" i="4" s="1"/>
  <c r="U65" i="4" a="1"/>
  <c r="U65" i="4" s="1"/>
  <c r="T94" i="4" a="1"/>
  <c r="T94" i="4" s="1"/>
  <c r="U94" i="4" a="1"/>
  <c r="U94" i="4" s="1"/>
  <c r="T42" i="4" a="1"/>
  <c r="T42" i="4" s="1"/>
  <c r="U42" i="4" a="1"/>
  <c r="U42" i="4" s="1"/>
  <c r="U82" i="4" a="1"/>
  <c r="U82" i="4" s="1"/>
  <c r="T82" i="4" a="1"/>
  <c r="T82" i="4" s="1"/>
  <c r="T64" i="4" a="1"/>
  <c r="T64" i="4" s="1"/>
  <c r="U64" i="4" a="1"/>
  <c r="U64" i="4" s="1"/>
  <c r="T83" i="4" a="1"/>
  <c r="T83" i="4" s="1"/>
  <c r="U83" i="4" a="1"/>
  <c r="U83" i="4" s="1"/>
  <c r="U51" i="4" a="1"/>
  <c r="U51" i="4" s="1"/>
  <c r="T51" i="4" a="1"/>
  <c r="T51" i="4" s="1"/>
  <c r="T77" i="4" a="1"/>
  <c r="T77" i="4" s="1"/>
  <c r="U77" i="4" a="1"/>
  <c r="U77" i="4" s="1"/>
  <c r="U45" i="4" a="1"/>
  <c r="U45" i="4" s="1"/>
  <c r="T45" i="4" a="1"/>
  <c r="T45" i="4" s="1"/>
  <c r="U33" i="4" a="1"/>
  <c r="U33" i="4" s="1"/>
  <c r="T33" i="4" a="1"/>
  <c r="T33" i="4" s="1"/>
  <c r="U87" i="4" a="1"/>
  <c r="U87" i="4" s="1"/>
  <c r="T87" i="4" a="1"/>
  <c r="T87" i="4" s="1"/>
  <c r="U88" i="4" a="1"/>
  <c r="U88" i="4" s="1"/>
  <c r="T88" i="4" a="1"/>
  <c r="T88" i="4" s="1"/>
  <c r="U76" i="4" a="1"/>
  <c r="U76" i="4" s="1"/>
  <c r="T76" i="4" a="1"/>
  <c r="T76" i="4" s="1"/>
  <c r="T66" i="4" a="1"/>
  <c r="T66" i="4" s="1"/>
  <c r="U66" i="4" a="1"/>
  <c r="U66" i="4" s="1"/>
  <c r="U80" i="4" a="1"/>
  <c r="U80" i="4" s="1"/>
  <c r="T80" i="4" a="1"/>
  <c r="T80" i="4" s="1"/>
  <c r="U52" i="4" a="1"/>
  <c r="U52" i="4" s="1"/>
  <c r="T52" i="4" a="1"/>
  <c r="T52" i="4" s="1"/>
  <c r="U58" i="4" a="1"/>
  <c r="U58" i="4" s="1"/>
  <c r="T58" i="4" a="1"/>
  <c r="T58" i="4" s="1"/>
  <c r="T63" i="4" a="1"/>
  <c r="T63" i="4" s="1"/>
  <c r="U63" i="4" a="1"/>
  <c r="U63" i="4" s="1"/>
  <c r="T89" i="4" a="1"/>
  <c r="T89" i="4" s="1"/>
  <c r="U89" i="4" a="1"/>
  <c r="U89" i="4" s="1"/>
  <c r="T57" i="4" a="1"/>
  <c r="T57" i="4" s="1"/>
  <c r="U57" i="4" a="1"/>
  <c r="U57" i="4" s="1"/>
  <c r="B94" i="4" a="1"/>
  <c r="B94" i="4" s="1"/>
  <c r="R94" i="4" s="1"/>
  <c r="C94" i="4"/>
  <c r="Q94" i="4" s="1"/>
  <c r="P22" i="4"/>
  <c r="P19" i="4"/>
  <c r="P16" i="4"/>
  <c r="O22" i="4"/>
  <c r="O19" i="4"/>
  <c r="O16" i="4"/>
  <c r="C37" i="4"/>
  <c r="B36" i="4"/>
  <c r="T163" i="4" l="1" a="1"/>
  <c r="T163" i="4" s="1"/>
  <c r="U98" i="4" a="1"/>
  <c r="U98" i="4" s="1"/>
  <c r="E164" i="4"/>
  <c r="E148" i="4"/>
  <c r="U114" i="4" a="1"/>
  <c r="U114" i="4" s="1"/>
  <c r="S114" i="4"/>
  <c r="C114" i="4"/>
  <c r="Q114" i="4" s="1"/>
  <c r="B114" i="4" a="1"/>
  <c r="B114" i="4" s="1"/>
  <c r="R114" i="4" s="1"/>
  <c r="T114" i="4" a="1"/>
  <c r="T114" i="4" s="1"/>
  <c r="T98" i="4" a="1"/>
  <c r="T98" i="4" s="1"/>
  <c r="E132" i="4"/>
  <c r="E100" i="4"/>
  <c r="E116" i="4"/>
  <c r="T162" i="4" a="1"/>
  <c r="T162" i="4" s="1"/>
  <c r="S162" i="4"/>
  <c r="C162" i="4"/>
  <c r="Q162" i="4" s="1"/>
  <c r="B162" i="4" a="1"/>
  <c r="B162" i="4" s="1"/>
  <c r="R162" i="4" s="1"/>
  <c r="U162" i="4" a="1"/>
  <c r="U162" i="4" s="1"/>
  <c r="U130" i="4" a="1"/>
  <c r="U130" i="4" s="1"/>
  <c r="T130" i="4" a="1"/>
  <c r="T130" i="4" s="1"/>
  <c r="S130" i="4"/>
  <c r="C130" i="4"/>
  <c r="Q130" i="4" s="1"/>
  <c r="B130" i="4" a="1"/>
  <c r="B130" i="4" s="1"/>
  <c r="R130" i="4" s="1"/>
  <c r="C98" i="4"/>
  <c r="Q98" i="4" s="1"/>
  <c r="B98" i="4" a="1"/>
  <c r="B98" i="4" s="1"/>
  <c r="R98" i="4" s="1"/>
  <c r="C95" i="4"/>
  <c r="Q95" i="4" s="1"/>
  <c r="B95" i="4" a="1"/>
  <c r="B95" i="4" s="1"/>
  <c r="R95" i="4" s="1"/>
  <c r="C97" i="4"/>
  <c r="Q97" i="4" s="1"/>
  <c r="B97" i="4" a="1"/>
  <c r="B97" i="4" s="1"/>
  <c r="R97" i="4" s="1"/>
  <c r="C96" i="4"/>
  <c r="Q96" i="4" s="1"/>
  <c r="B96" i="4" a="1"/>
  <c r="B96" i="4" s="1"/>
  <c r="R96" i="4" s="1"/>
  <c r="S95" i="4"/>
  <c r="S94" i="4"/>
  <c r="S97" i="4"/>
  <c r="S96" i="4"/>
  <c r="S98" i="4"/>
  <c r="P23" i="4"/>
  <c r="O23" i="4"/>
  <c r="O17" i="4"/>
  <c r="P20" i="4"/>
  <c r="O20" i="4"/>
  <c r="P17" i="4"/>
  <c r="S163" i="4" l="1"/>
  <c r="U163" i="4" a="1"/>
  <c r="U163" i="4" s="1"/>
  <c r="C163" i="4"/>
  <c r="Q163" i="4" s="1"/>
  <c r="B163" i="4" a="1"/>
  <c r="B163" i="4" s="1"/>
  <c r="R163" i="4" s="1"/>
  <c r="T115" i="4" a="1"/>
  <c r="T115" i="4" s="1"/>
  <c r="S115" i="4"/>
  <c r="B115" i="4" a="1"/>
  <c r="B115" i="4" s="1"/>
  <c r="R115" i="4" s="1"/>
  <c r="C115" i="4"/>
  <c r="Q115" i="4" s="1"/>
  <c r="U115" i="4" a="1"/>
  <c r="U115" i="4" s="1"/>
  <c r="E133" i="4"/>
  <c r="E101" i="4"/>
  <c r="E117" i="4"/>
  <c r="E165" i="4"/>
  <c r="U131" i="4" a="1"/>
  <c r="U131" i="4" s="1"/>
  <c r="T131" i="4" a="1"/>
  <c r="T131" i="4" s="1"/>
  <c r="S131" i="4"/>
  <c r="C131" i="4"/>
  <c r="Q131" i="4" s="1"/>
  <c r="B131" i="4" a="1"/>
  <c r="B131" i="4" s="1"/>
  <c r="R131" i="4" s="1"/>
  <c r="C147" i="4"/>
  <c r="Q147" i="4" s="1"/>
  <c r="B147" i="4" a="1"/>
  <c r="B147" i="4" s="1"/>
  <c r="R147" i="4" s="1"/>
  <c r="U147" i="4" a="1"/>
  <c r="U147" i="4" s="1"/>
  <c r="T147" i="4" a="1"/>
  <c r="T147" i="4" s="1"/>
  <c r="S147" i="4"/>
  <c r="E149" i="4"/>
  <c r="C112" i="4"/>
  <c r="Q112" i="4" s="1"/>
  <c r="U112" i="4" a="1"/>
  <c r="U112" i="4" s="1"/>
  <c r="T112" i="4" a="1"/>
  <c r="T112" i="4" s="1"/>
  <c r="C111" i="4"/>
  <c r="Q111" i="4" s="1"/>
  <c r="U111" i="4" a="1"/>
  <c r="U111" i="4" s="1"/>
  <c r="T111" i="4" a="1"/>
  <c r="T111" i="4" s="1"/>
  <c r="T37" i="4" a="1"/>
  <c r="T37" i="4" s="1"/>
  <c r="U37" i="4" a="1"/>
  <c r="U37" i="4" s="1"/>
  <c r="U36" i="4" a="1"/>
  <c r="U36" i="4" s="1"/>
  <c r="T36" i="4" a="1"/>
  <c r="T36" i="4" s="1"/>
  <c r="S112" i="4"/>
  <c r="B112" i="4" a="1"/>
  <c r="B112" i="4" s="1"/>
  <c r="R112" i="4" s="1"/>
  <c r="B111" i="4" a="1"/>
  <c r="B111" i="4" s="1"/>
  <c r="R111" i="4" s="1"/>
  <c r="S111" i="4"/>
  <c r="S36" i="4"/>
  <c r="Q36" i="4"/>
  <c r="R36" i="4" a="1"/>
  <c r="R36" i="4" s="1"/>
  <c r="S37" i="4"/>
  <c r="Q37" i="4"/>
  <c r="R37" i="4" a="1"/>
  <c r="R37" i="4" s="1"/>
  <c r="S38" i="4"/>
  <c r="R38" i="4" a="1"/>
  <c r="R38" i="4" s="1"/>
  <c r="Q38" i="4"/>
  <c r="E150" i="4" l="1"/>
  <c r="B132" i="4" a="1"/>
  <c r="B132" i="4" s="1"/>
  <c r="R132" i="4" s="1"/>
  <c r="U132" i="4" a="1"/>
  <c r="U132" i="4" s="1"/>
  <c r="T132" i="4" a="1"/>
  <c r="T132" i="4" s="1"/>
  <c r="S132" i="4"/>
  <c r="C132" i="4"/>
  <c r="Q132" i="4" s="1"/>
  <c r="C148" i="4"/>
  <c r="Q148" i="4" s="1"/>
  <c r="B148" i="4" a="1"/>
  <c r="B148" i="4" s="1"/>
  <c r="R148" i="4" s="1"/>
  <c r="U148" i="4" a="1"/>
  <c r="U148" i="4" s="1"/>
  <c r="T148" i="4" a="1"/>
  <c r="T148" i="4" s="1"/>
  <c r="S148" i="4"/>
  <c r="U100" i="4" a="1"/>
  <c r="U100" i="4" s="1"/>
  <c r="T100" i="4" a="1"/>
  <c r="T100" i="4" s="1"/>
  <c r="S100" i="4"/>
  <c r="B100" i="4" a="1"/>
  <c r="B100" i="4" s="1"/>
  <c r="R100" i="4" s="1"/>
  <c r="C100" i="4"/>
  <c r="Q100" i="4" s="1"/>
  <c r="U164" i="4" a="1"/>
  <c r="U164" i="4" s="1"/>
  <c r="T164" i="4" a="1"/>
  <c r="T164" i="4" s="1"/>
  <c r="S164" i="4"/>
  <c r="C164" i="4"/>
  <c r="Q164" i="4" s="1"/>
  <c r="B164" i="4" a="1"/>
  <c r="B164" i="4" s="1"/>
  <c r="R164" i="4" s="1"/>
  <c r="E134" i="4"/>
  <c r="U116" i="4" a="1"/>
  <c r="U116" i="4" s="1"/>
  <c r="T116" i="4" a="1"/>
  <c r="T116" i="4" s="1"/>
  <c r="S116" i="4"/>
  <c r="C116" i="4"/>
  <c r="Q116" i="4" s="1"/>
  <c r="B116" i="4" a="1"/>
  <c r="B116" i="4" s="1"/>
  <c r="R116" i="4" s="1"/>
  <c r="E102" i="4"/>
  <c r="E118" i="4"/>
  <c r="S48" i="4"/>
  <c r="Q48" i="4"/>
  <c r="R48" i="4" a="1"/>
  <c r="R48" i="4" s="1"/>
  <c r="S66" i="4"/>
  <c r="R66" i="4" a="1"/>
  <c r="R66" i="4" s="1"/>
  <c r="Q66" i="4"/>
  <c r="S76" i="4"/>
  <c r="Q76" i="4"/>
  <c r="R76" i="4" a="1"/>
  <c r="R76" i="4" s="1"/>
  <c r="R74" i="4" a="1"/>
  <c r="R74" i="4" s="1"/>
  <c r="S74" i="4"/>
  <c r="Q74" i="4"/>
  <c r="R90" i="4" a="1"/>
  <c r="R90" i="4" s="1"/>
  <c r="Q90" i="4"/>
  <c r="S90" i="4"/>
  <c r="R41" i="4" a="1"/>
  <c r="R41" i="4" s="1"/>
  <c r="Q41" i="4"/>
  <c r="S41" i="4"/>
  <c r="R49" i="4" a="1"/>
  <c r="R49" i="4" s="1"/>
  <c r="S49" i="4"/>
  <c r="Q49" i="4"/>
  <c r="R57" i="4" a="1"/>
  <c r="R57" i="4" s="1"/>
  <c r="Q57" i="4"/>
  <c r="S57" i="4"/>
  <c r="S65" i="4"/>
  <c r="R65" i="4" a="1"/>
  <c r="R65" i="4" s="1"/>
  <c r="Q65" i="4"/>
  <c r="S73" i="4"/>
  <c r="Q73" i="4"/>
  <c r="R73" i="4" a="1"/>
  <c r="R73" i="4" s="1"/>
  <c r="R81" i="4" a="1"/>
  <c r="R81" i="4" s="1"/>
  <c r="Q81" i="4"/>
  <c r="S81" i="4"/>
  <c r="R89" i="4" a="1"/>
  <c r="R89" i="4" s="1"/>
  <c r="Q89" i="4"/>
  <c r="S89" i="4"/>
  <c r="R33" i="4" a="1"/>
  <c r="R33" i="4" s="1"/>
  <c r="Q33" i="4"/>
  <c r="S33" i="4"/>
  <c r="R46" i="4" a="1"/>
  <c r="R46" i="4" s="1"/>
  <c r="Q46" i="4"/>
  <c r="S46" i="4"/>
  <c r="S44" i="4"/>
  <c r="R44" i="4" a="1"/>
  <c r="R44" i="4" s="1"/>
  <c r="Q44" i="4"/>
  <c r="Q64" i="4"/>
  <c r="S64" i="4"/>
  <c r="R64" i="4" a="1"/>
  <c r="R64" i="4" s="1"/>
  <c r="R62" i="4" a="1"/>
  <c r="R62" i="4" s="1"/>
  <c r="Q62" i="4"/>
  <c r="S62" i="4"/>
  <c r="Q60" i="4"/>
  <c r="S60" i="4"/>
  <c r="R60" i="4" a="1"/>
  <c r="R60" i="4" s="1"/>
  <c r="Q58" i="4"/>
  <c r="S58" i="4"/>
  <c r="R58" i="4" a="1"/>
  <c r="R58" i="4" s="1"/>
  <c r="S80" i="4"/>
  <c r="R80" i="4" a="1"/>
  <c r="R80" i="4" s="1"/>
  <c r="Q80" i="4"/>
  <c r="R78" i="4" a="1"/>
  <c r="R78" i="4" s="1"/>
  <c r="Q78" i="4"/>
  <c r="S78" i="4"/>
  <c r="Q43" i="4"/>
  <c r="R43" i="4" a="1"/>
  <c r="R43" i="4" s="1"/>
  <c r="S43" i="4"/>
  <c r="S51" i="4"/>
  <c r="Q51" i="4"/>
  <c r="R51" i="4" a="1"/>
  <c r="R51" i="4" s="1"/>
  <c r="S59" i="4"/>
  <c r="R59" i="4" a="1"/>
  <c r="R59" i="4" s="1"/>
  <c r="Q59" i="4"/>
  <c r="R67" i="4" a="1"/>
  <c r="R67" i="4" s="1"/>
  <c r="S67" i="4"/>
  <c r="Q67" i="4"/>
  <c r="Q75" i="4"/>
  <c r="R75" i="4" a="1"/>
  <c r="R75" i="4" s="1"/>
  <c r="S75" i="4"/>
  <c r="Q83" i="4"/>
  <c r="S83" i="4"/>
  <c r="R83" i="4" a="1"/>
  <c r="R83" i="4" s="1"/>
  <c r="Q68" i="4"/>
  <c r="R68" i="4" a="1"/>
  <c r="R68" i="4" s="1"/>
  <c r="S68" i="4"/>
  <c r="Q50" i="4"/>
  <c r="R50" i="4" a="1"/>
  <c r="R50" i="4" s="1"/>
  <c r="S50" i="4"/>
  <c r="S84" i="4"/>
  <c r="R84" i="4" a="1"/>
  <c r="R84" i="4" s="1"/>
  <c r="Q84" i="4"/>
  <c r="S70" i="4"/>
  <c r="R70" i="4" a="1"/>
  <c r="R70" i="4" s="1"/>
  <c r="Q70" i="4"/>
  <c r="R82" i="4" a="1"/>
  <c r="R82" i="4" s="1"/>
  <c r="Q82" i="4"/>
  <c r="S82" i="4"/>
  <c r="Q45" i="4"/>
  <c r="S45" i="4"/>
  <c r="R45" i="4" a="1"/>
  <c r="R45" i="4" s="1"/>
  <c r="R53" i="4" a="1"/>
  <c r="R53" i="4" s="1"/>
  <c r="S53" i="4"/>
  <c r="Q53" i="4"/>
  <c r="S61" i="4"/>
  <c r="Q61" i="4"/>
  <c r="R61" i="4" a="1"/>
  <c r="R61" i="4" s="1"/>
  <c r="S69" i="4"/>
  <c r="R69" i="4" a="1"/>
  <c r="R69" i="4" s="1"/>
  <c r="Q69" i="4"/>
  <c r="R77" i="4" a="1"/>
  <c r="R77" i="4" s="1"/>
  <c r="Q77" i="4"/>
  <c r="S77" i="4"/>
  <c r="R85" i="4" a="1"/>
  <c r="R85" i="4" s="1"/>
  <c r="Q85" i="4"/>
  <c r="S85" i="4"/>
  <c r="S32" i="4"/>
  <c r="S34" i="4"/>
  <c r="Q34" i="4"/>
  <c r="R34" i="4" a="1"/>
  <c r="R34" i="4" s="1"/>
  <c r="R56" i="4" a="1"/>
  <c r="R56" i="4" s="1"/>
  <c r="Q56" i="4"/>
  <c r="S56" i="4"/>
  <c r="Q54" i="4"/>
  <c r="S54" i="4"/>
  <c r="R54" i="4" a="1"/>
  <c r="R54" i="4" s="1"/>
  <c r="S52" i="4"/>
  <c r="Q52" i="4"/>
  <c r="R52" i="4" a="1"/>
  <c r="R52" i="4" s="1"/>
  <c r="R42" i="4" a="1"/>
  <c r="R42" i="4" s="1"/>
  <c r="Q42" i="4"/>
  <c r="S42" i="4"/>
  <c r="Q72" i="4"/>
  <c r="R72" i="4" a="1"/>
  <c r="R72" i="4" s="1"/>
  <c r="S72" i="4"/>
  <c r="S88" i="4"/>
  <c r="R88" i="4" a="1"/>
  <c r="R88" i="4" s="1"/>
  <c r="Q88" i="4"/>
  <c r="R86" i="4" a="1"/>
  <c r="R86" i="4" s="1"/>
  <c r="Q86" i="4"/>
  <c r="S86" i="4"/>
  <c r="Q47" i="4"/>
  <c r="S47" i="4"/>
  <c r="R47" i="4" a="1"/>
  <c r="R47" i="4" s="1"/>
  <c r="S55" i="4"/>
  <c r="R55" i="4" a="1"/>
  <c r="R55" i="4" s="1"/>
  <c r="Q55" i="4"/>
  <c r="R63" i="4" a="1"/>
  <c r="R63" i="4" s="1"/>
  <c r="S63" i="4"/>
  <c r="Q63" i="4"/>
  <c r="R71" i="4" a="1"/>
  <c r="R71" i="4" s="1"/>
  <c r="Q71" i="4"/>
  <c r="S71" i="4"/>
  <c r="Q79" i="4"/>
  <c r="S79" i="4"/>
  <c r="R79" i="4" a="1"/>
  <c r="R79" i="4" s="1"/>
  <c r="Q87" i="4"/>
  <c r="S87" i="4"/>
  <c r="R87" i="4" a="1"/>
  <c r="R87" i="4" s="1"/>
  <c r="E151" i="4" l="1"/>
  <c r="U149" i="4" a="1"/>
  <c r="U149" i="4" s="1"/>
  <c r="T149" i="4" a="1"/>
  <c r="T149" i="4" s="1"/>
  <c r="S149" i="4"/>
  <c r="C149" i="4"/>
  <c r="Q149" i="4" s="1"/>
  <c r="B149" i="4" a="1"/>
  <c r="B149" i="4" s="1"/>
  <c r="R149" i="4" s="1"/>
  <c r="B133" i="4" a="1"/>
  <c r="B133" i="4" s="1"/>
  <c r="R133" i="4" s="1"/>
  <c r="U133" i="4" a="1"/>
  <c r="U133" i="4" s="1"/>
  <c r="T133" i="4" a="1"/>
  <c r="T133" i="4" s="1"/>
  <c r="S133" i="4"/>
  <c r="C133" i="4"/>
  <c r="Q133" i="4" s="1"/>
  <c r="E135" i="4"/>
  <c r="S165" i="4"/>
  <c r="C165" i="4"/>
  <c r="Q165" i="4" s="1"/>
  <c r="B165" i="4" a="1"/>
  <c r="B165" i="4" s="1"/>
  <c r="R165" i="4" s="1"/>
  <c r="U165" i="4" a="1"/>
  <c r="U165" i="4" s="1"/>
  <c r="T165" i="4" a="1"/>
  <c r="T165" i="4" s="1"/>
  <c r="T101" i="4" a="1"/>
  <c r="T101" i="4" s="1"/>
  <c r="U101" i="4" a="1"/>
  <c r="U101" i="4" s="1"/>
  <c r="C101" i="4"/>
  <c r="Q101" i="4" s="1"/>
  <c r="B101" i="4" a="1"/>
  <c r="B101" i="4" s="1"/>
  <c r="R101" i="4" s="1"/>
  <c r="S101" i="4"/>
  <c r="U117" i="4" a="1"/>
  <c r="U117" i="4" s="1"/>
  <c r="T117" i="4" a="1"/>
  <c r="T117" i="4" s="1"/>
  <c r="S117" i="4"/>
  <c r="C117" i="4"/>
  <c r="Q117" i="4" s="1"/>
  <c r="B117" i="4" a="1"/>
  <c r="B117" i="4" s="1"/>
  <c r="R117" i="4" s="1"/>
  <c r="E103" i="4"/>
  <c r="E119" i="4"/>
  <c r="Q32" i="4"/>
  <c r="E136" i="4" l="1"/>
  <c r="E104" i="4"/>
  <c r="E120" i="4"/>
  <c r="E152" i="4"/>
  <c r="C118" i="4"/>
  <c r="Q118" i="4" s="1"/>
  <c r="S118" i="4"/>
  <c r="B118" i="4" a="1"/>
  <c r="B118" i="4" s="1"/>
  <c r="R118" i="4" s="1"/>
  <c r="U118" i="4" a="1"/>
  <c r="U118" i="4" s="1"/>
  <c r="T118" i="4" a="1"/>
  <c r="T118" i="4" s="1"/>
  <c r="C102" i="4"/>
  <c r="Q102" i="4" s="1"/>
  <c r="B102" i="4" a="1"/>
  <c r="B102" i="4" s="1"/>
  <c r="R102" i="4" s="1"/>
  <c r="S102" i="4"/>
  <c r="T102" i="4" a="1"/>
  <c r="T102" i="4" s="1"/>
  <c r="U102" i="4" a="1"/>
  <c r="U102" i="4" s="1"/>
  <c r="U150" i="4" a="1"/>
  <c r="U150" i="4" s="1"/>
  <c r="T150" i="4" a="1"/>
  <c r="T150" i="4" s="1"/>
  <c r="S150" i="4"/>
  <c r="C150" i="4"/>
  <c r="Q150" i="4" s="1"/>
  <c r="B150" i="4" a="1"/>
  <c r="B150" i="4" s="1"/>
  <c r="R150" i="4" s="1"/>
  <c r="U134" i="4" a="1"/>
  <c r="U134" i="4" s="1"/>
  <c r="T134" i="4" a="1"/>
  <c r="T134" i="4" s="1"/>
  <c r="S134" i="4"/>
  <c r="C134" i="4"/>
  <c r="Q134" i="4" s="1"/>
  <c r="B134" i="4" a="1"/>
  <c r="B134" i="4" s="1"/>
  <c r="R134" i="4" s="1"/>
  <c r="R32" i="4" a="1"/>
  <c r="R32" i="4" s="1"/>
  <c r="T151" i="4" l="1" a="1"/>
  <c r="T151" i="4" s="1"/>
  <c r="S151" i="4"/>
  <c r="C151" i="4"/>
  <c r="Q151" i="4" s="1"/>
  <c r="B151" i="4" a="1"/>
  <c r="B151" i="4" s="1"/>
  <c r="R151" i="4" s="1"/>
  <c r="U151" i="4" a="1"/>
  <c r="U151" i="4" s="1"/>
  <c r="C135" i="4"/>
  <c r="Q135" i="4" s="1"/>
  <c r="B135" i="4" a="1"/>
  <c r="B135" i="4" s="1"/>
  <c r="R135" i="4" s="1"/>
  <c r="U135" i="4" a="1"/>
  <c r="U135" i="4" s="1"/>
  <c r="T135" i="4" a="1"/>
  <c r="T135" i="4" s="1"/>
  <c r="S135" i="4"/>
  <c r="E137" i="4"/>
  <c r="E105" i="4"/>
  <c r="E121" i="4"/>
  <c r="S103" i="4"/>
  <c r="U103" i="4" a="1"/>
  <c r="U103" i="4" s="1"/>
  <c r="B103" i="4" a="1"/>
  <c r="B103" i="4" s="1"/>
  <c r="R103" i="4" s="1"/>
  <c r="C103" i="4"/>
  <c r="Q103" i="4" s="1"/>
  <c r="T103" i="4" a="1"/>
  <c r="T103" i="4" s="1"/>
  <c r="E153" i="4"/>
  <c r="B119" i="4" a="1"/>
  <c r="B119" i="4" s="1"/>
  <c r="R119" i="4" s="1"/>
  <c r="U119" i="4" a="1"/>
  <c r="U119" i="4" s="1"/>
  <c r="T119" i="4" a="1"/>
  <c r="T119" i="4" s="1"/>
  <c r="S119" i="4"/>
  <c r="C119" i="4"/>
  <c r="Q119" i="4" s="1"/>
  <c r="T136" i="4" l="1" a="1"/>
  <c r="T136" i="4" s="1"/>
  <c r="S136" i="4"/>
  <c r="U136" i="4" a="1"/>
  <c r="U136" i="4" s="1"/>
  <c r="C136" i="4"/>
  <c r="Q136" i="4" s="1"/>
  <c r="B136" i="4" a="1"/>
  <c r="B136" i="4" s="1"/>
  <c r="R136" i="4" s="1"/>
  <c r="B152" i="4" a="1"/>
  <c r="B152" i="4" s="1"/>
  <c r="R152" i="4" s="1"/>
  <c r="U152" i="4" a="1"/>
  <c r="U152" i="4" s="1"/>
  <c r="T152" i="4" a="1"/>
  <c r="T152" i="4" s="1"/>
  <c r="S152" i="4"/>
  <c r="C152" i="4"/>
  <c r="Q152" i="4" s="1"/>
  <c r="E138" i="4"/>
  <c r="E106" i="4"/>
  <c r="E122" i="4"/>
  <c r="E154" i="4"/>
  <c r="B104" i="4" a="1"/>
  <c r="B104" i="4" s="1"/>
  <c r="R104" i="4" s="1"/>
  <c r="C104" i="4"/>
  <c r="Q104" i="4" s="1"/>
  <c r="U104" i="4" a="1"/>
  <c r="U104" i="4" s="1"/>
  <c r="T104" i="4" a="1"/>
  <c r="T104" i="4" s="1"/>
  <c r="S104" i="4"/>
  <c r="U120" i="4" a="1"/>
  <c r="U120" i="4" s="1"/>
  <c r="T120" i="4" a="1"/>
  <c r="T120" i="4" s="1"/>
  <c r="S120" i="4"/>
  <c r="C120" i="4"/>
  <c r="Q120" i="4" s="1"/>
  <c r="B120" i="4" a="1"/>
  <c r="B120" i="4" s="1"/>
  <c r="R120" i="4" s="1"/>
  <c r="U99" i="4" a="1"/>
  <c r="U99" i="4" s="1"/>
  <c r="T99" i="4" a="1"/>
  <c r="T99" i="4" s="1"/>
  <c r="C99" i="4"/>
  <c r="Q99" i="4" s="1"/>
  <c r="S99" i="4"/>
  <c r="B99" i="4" a="1"/>
  <c r="B99" i="4" s="1"/>
  <c r="R99" i="4" s="1"/>
  <c r="C105" i="4" l="1"/>
  <c r="Q105" i="4" s="1"/>
  <c r="B105" i="4" a="1"/>
  <c r="B105" i="4" s="1"/>
  <c r="R105" i="4" s="1"/>
  <c r="S105" i="4"/>
  <c r="U105" i="4" a="1"/>
  <c r="U105" i="4" s="1"/>
  <c r="T105" i="4" a="1"/>
  <c r="T105" i="4" s="1"/>
  <c r="U153" i="4" a="1"/>
  <c r="U153" i="4" s="1"/>
  <c r="T153" i="4" a="1"/>
  <c r="T153" i="4" s="1"/>
  <c r="S153" i="4"/>
  <c r="C153" i="4"/>
  <c r="Q153" i="4" s="1"/>
  <c r="B153" i="4" a="1"/>
  <c r="B153" i="4" s="1"/>
  <c r="R153" i="4" s="1"/>
  <c r="E139" i="4"/>
  <c r="S121" i="4"/>
  <c r="C121" i="4"/>
  <c r="Q121" i="4" s="1"/>
  <c r="B121" i="4" a="1"/>
  <c r="B121" i="4" s="1"/>
  <c r="R121" i="4" s="1"/>
  <c r="U121" i="4" a="1"/>
  <c r="U121" i="4" s="1"/>
  <c r="T121" i="4" a="1"/>
  <c r="T121" i="4" s="1"/>
  <c r="E107" i="4"/>
  <c r="E123" i="4"/>
  <c r="S137" i="4"/>
  <c r="C137" i="4"/>
  <c r="Q137" i="4" s="1"/>
  <c r="B137" i="4" a="1"/>
  <c r="B137" i="4" s="1"/>
  <c r="R137" i="4" s="1"/>
  <c r="U137" i="4" a="1"/>
  <c r="U137" i="4" s="1"/>
  <c r="T137" i="4" a="1"/>
  <c r="T137" i="4" s="1"/>
  <c r="E155" i="4"/>
  <c r="C106" i="4" l="1"/>
  <c r="Q106" i="4" s="1"/>
  <c r="B106" i="4" a="1"/>
  <c r="B106" i="4" s="1"/>
  <c r="R106" i="4" s="1"/>
  <c r="U106" i="4" a="1"/>
  <c r="U106" i="4" s="1"/>
  <c r="S106" i="4"/>
  <c r="T106" i="4" a="1"/>
  <c r="T106" i="4" s="1"/>
  <c r="E156" i="4"/>
  <c r="E140" i="4"/>
  <c r="E108" i="4"/>
  <c r="E124" i="4"/>
  <c r="U138" i="4" a="1"/>
  <c r="U138" i="4" s="1"/>
  <c r="B138" i="4" a="1"/>
  <c r="B138" i="4" s="1"/>
  <c r="R138" i="4" s="1"/>
  <c r="T138" i="4" a="1"/>
  <c r="T138" i="4" s="1"/>
  <c r="S138" i="4"/>
  <c r="C138" i="4"/>
  <c r="Q138" i="4" s="1"/>
  <c r="C122" i="4"/>
  <c r="Q122" i="4" s="1"/>
  <c r="B122" i="4" a="1"/>
  <c r="B122" i="4" s="1"/>
  <c r="R122" i="4" s="1"/>
  <c r="U122" i="4" a="1"/>
  <c r="U122" i="4" s="1"/>
  <c r="T122" i="4" a="1"/>
  <c r="T122" i="4" s="1"/>
  <c r="S122" i="4"/>
  <c r="U154" i="4" a="1"/>
  <c r="U154" i="4" s="1"/>
  <c r="T154" i="4" a="1"/>
  <c r="T154" i="4" s="1"/>
  <c r="S154" i="4"/>
  <c r="C154" i="4"/>
  <c r="Q154" i="4" s="1"/>
  <c r="B154" i="4" a="1"/>
  <c r="B154" i="4" s="1"/>
  <c r="R154" i="4" s="1"/>
  <c r="E109" i="4" l="1"/>
  <c r="E125" i="4"/>
  <c r="E157" i="4"/>
  <c r="S139" i="4"/>
  <c r="C139" i="4"/>
  <c r="Q139" i="4" s="1"/>
  <c r="B139" i="4" a="1"/>
  <c r="B139" i="4" s="1"/>
  <c r="R139" i="4" s="1"/>
  <c r="U139" i="4" a="1"/>
  <c r="U139" i="4" s="1"/>
  <c r="T139" i="4" a="1"/>
  <c r="T139" i="4" s="1"/>
  <c r="T107" i="4" a="1"/>
  <c r="T107" i="4" s="1"/>
  <c r="B107" i="4" a="1"/>
  <c r="B107" i="4" s="1"/>
  <c r="R107" i="4" s="1"/>
  <c r="U107" i="4" a="1"/>
  <c r="U107" i="4" s="1"/>
  <c r="S107" i="4"/>
  <c r="C107" i="4"/>
  <c r="Q107" i="4" s="1"/>
  <c r="U123" i="4" a="1"/>
  <c r="U123" i="4" s="1"/>
  <c r="T123" i="4" a="1"/>
  <c r="T123" i="4" s="1"/>
  <c r="S123" i="4"/>
  <c r="C123" i="4"/>
  <c r="Q123" i="4" s="1"/>
  <c r="B123" i="4" a="1"/>
  <c r="B123" i="4" s="1"/>
  <c r="R123" i="4" s="1"/>
  <c r="S155" i="4"/>
  <c r="C155" i="4"/>
  <c r="Q155" i="4" s="1"/>
  <c r="B155" i="4" a="1"/>
  <c r="B155" i="4" s="1"/>
  <c r="R155" i="4" s="1"/>
  <c r="U155" i="4" a="1"/>
  <c r="U155" i="4" s="1"/>
  <c r="T155" i="4" a="1"/>
  <c r="T155" i="4" s="1"/>
  <c r="E141" i="4"/>
  <c r="B124" i="4" l="1" a="1"/>
  <c r="B124" i="4" s="1"/>
  <c r="R124" i="4" s="1"/>
  <c r="U124" i="4" a="1"/>
  <c r="U124" i="4" s="1"/>
  <c r="T124" i="4" a="1"/>
  <c r="T124" i="4" s="1"/>
  <c r="S124" i="4"/>
  <c r="C124" i="4"/>
  <c r="Q124" i="4" s="1"/>
  <c r="U108" i="4" a="1"/>
  <c r="U108" i="4" s="1"/>
  <c r="C108" i="4"/>
  <c r="Q108" i="4" s="1"/>
  <c r="S108" i="4"/>
  <c r="T108" i="4" a="1"/>
  <c r="T108" i="4" s="1"/>
  <c r="B108" i="4" a="1"/>
  <c r="B108" i="4" s="1"/>
  <c r="R108" i="4" s="1"/>
  <c r="E158" i="4"/>
  <c r="E142" i="4"/>
  <c r="E110" i="4"/>
  <c r="E126" i="4"/>
  <c r="U140" i="4" a="1"/>
  <c r="U140" i="4" s="1"/>
  <c r="T140" i="4" a="1"/>
  <c r="T140" i="4" s="1"/>
  <c r="B140" i="4" a="1"/>
  <c r="B140" i="4" s="1"/>
  <c r="R140" i="4" s="1"/>
  <c r="C140" i="4"/>
  <c r="Q140" i="4" s="1"/>
  <c r="S140" i="4"/>
  <c r="S156" i="4"/>
  <c r="C156" i="4"/>
  <c r="Q156" i="4" s="1"/>
  <c r="B156" i="4" a="1"/>
  <c r="B156" i="4" s="1"/>
  <c r="R156" i="4" s="1"/>
  <c r="U156" i="4" a="1"/>
  <c r="U156" i="4" s="1"/>
  <c r="T156" i="4" a="1"/>
  <c r="T156" i="4" s="1"/>
  <c r="E143" i="4" l="1"/>
  <c r="E127" i="4"/>
  <c r="E159" i="4"/>
  <c r="U141" i="4" a="1"/>
  <c r="U141" i="4" s="1"/>
  <c r="S141" i="4"/>
  <c r="C141" i="4"/>
  <c r="Q141" i="4" s="1"/>
  <c r="B141" i="4" a="1"/>
  <c r="B141" i="4" s="1"/>
  <c r="R141" i="4" s="1"/>
  <c r="T141" i="4" a="1"/>
  <c r="T141" i="4" s="1"/>
  <c r="S109" i="4"/>
  <c r="B109" i="4" a="1"/>
  <c r="B109" i="4" s="1"/>
  <c r="R109" i="4" s="1"/>
  <c r="C109" i="4"/>
  <c r="Q109" i="4" s="1"/>
  <c r="T109" i="4" a="1"/>
  <c r="T109" i="4" s="1"/>
  <c r="U109" i="4" a="1"/>
  <c r="U109" i="4" s="1"/>
  <c r="U157" i="4" a="1"/>
  <c r="U157" i="4" s="1"/>
  <c r="T157" i="4" a="1"/>
  <c r="T157" i="4" s="1"/>
  <c r="S157" i="4"/>
  <c r="C157" i="4"/>
  <c r="Q157" i="4" s="1"/>
  <c r="B157" i="4" a="1"/>
  <c r="B157" i="4" s="1"/>
  <c r="R157" i="4" s="1"/>
  <c r="B125" i="4" a="1"/>
  <c r="B125" i="4" s="1"/>
  <c r="R125" i="4" s="1"/>
  <c r="U125" i="4" a="1"/>
  <c r="U125" i="4" s="1"/>
  <c r="T125" i="4" a="1"/>
  <c r="T125" i="4" s="1"/>
  <c r="S125" i="4"/>
  <c r="C125" i="4"/>
  <c r="Q125" i="4" s="1"/>
  <c r="S158" i="4" l="1"/>
  <c r="C158" i="4"/>
  <c r="Q158" i="4" s="1"/>
  <c r="B158" i="4" a="1"/>
  <c r="B158" i="4" s="1"/>
  <c r="R158" i="4" s="1"/>
  <c r="U158" i="4" a="1"/>
  <c r="U158" i="4" s="1"/>
  <c r="T158" i="4" a="1"/>
  <c r="T158" i="4" s="1"/>
  <c r="E144" i="4"/>
  <c r="U142" i="4" a="1"/>
  <c r="U142" i="4" s="1"/>
  <c r="T142" i="4" a="1"/>
  <c r="T142" i="4" s="1"/>
  <c r="S142" i="4"/>
  <c r="C142" i="4"/>
  <c r="Q142" i="4" s="1"/>
  <c r="B142" i="4" a="1"/>
  <c r="B142" i="4" s="1"/>
  <c r="R142" i="4" s="1"/>
  <c r="T110" i="4" a="1"/>
  <c r="T110" i="4" s="1"/>
  <c r="C110" i="4"/>
  <c r="Q110" i="4" s="1"/>
  <c r="U110" i="4" a="1"/>
  <c r="U110" i="4" s="1"/>
  <c r="B110" i="4" a="1"/>
  <c r="B110" i="4" s="1"/>
  <c r="R110" i="4" s="1"/>
  <c r="S110" i="4"/>
  <c r="B126" i="4" a="1"/>
  <c r="B126" i="4" s="1"/>
  <c r="R126" i="4" s="1"/>
  <c r="U126" i="4" a="1"/>
  <c r="U126" i="4" s="1"/>
  <c r="T126" i="4" a="1"/>
  <c r="T126" i="4" s="1"/>
  <c r="C126" i="4"/>
  <c r="Q126" i="4" s="1"/>
  <c r="S126" i="4"/>
  <c r="E160" i="4"/>
  <c r="E161" i="4" l="1"/>
  <c r="B143" i="4" a="1"/>
  <c r="B143" i="4" s="1"/>
  <c r="R143" i="4" s="1"/>
  <c r="T143" i="4" a="1"/>
  <c r="T143" i="4" s="1"/>
  <c r="C143" i="4"/>
  <c r="Q143" i="4" s="1"/>
  <c r="U143" i="4" a="1"/>
  <c r="U143" i="4" s="1"/>
  <c r="S143" i="4"/>
  <c r="S127" i="4"/>
  <c r="C127" i="4"/>
  <c r="Q127" i="4" s="1"/>
  <c r="B127" i="4" a="1"/>
  <c r="B127" i="4" s="1"/>
  <c r="R127" i="4" s="1"/>
  <c r="U127" i="4" a="1"/>
  <c r="U127" i="4" s="1"/>
  <c r="T127" i="4" a="1"/>
  <c r="T127" i="4" s="1"/>
  <c r="B159" i="4" a="1"/>
  <c r="B159" i="4" s="1"/>
  <c r="R159" i="4" s="1"/>
  <c r="U159" i="4" a="1"/>
  <c r="U159" i="4" s="1"/>
  <c r="T159" i="4" a="1"/>
  <c r="T159" i="4" s="1"/>
  <c r="S159" i="4"/>
  <c r="C159" i="4"/>
  <c r="Q159" i="4" s="1"/>
  <c r="B160" i="4" l="1" a="1"/>
  <c r="B160" i="4" s="1"/>
  <c r="R160" i="4" s="1"/>
  <c r="U160" i="4" a="1"/>
  <c r="U160" i="4" s="1"/>
  <c r="C160" i="4"/>
  <c r="Q160" i="4" s="1"/>
  <c r="T160" i="4" a="1"/>
  <c r="T160" i="4" s="1"/>
  <c r="S160" i="4"/>
  <c r="B144" i="4" a="1"/>
  <c r="B144" i="4" s="1"/>
  <c r="R144" i="4" s="1"/>
  <c r="U144" i="4" a="1"/>
  <c r="U144" i="4" s="1"/>
  <c r="C144" i="4"/>
  <c r="Q144" i="4" s="1"/>
  <c r="T144" i="4" a="1"/>
  <c r="T144" i="4" s="1"/>
  <c r="S144" i="4"/>
  <c r="S161" i="4" l="1"/>
  <c r="C161" i="4"/>
  <c r="Q161" i="4" s="1"/>
  <c r="B161" i="4" a="1"/>
  <c r="B161" i="4" s="1"/>
  <c r="R161" i="4" s="1"/>
  <c r="U161" i="4" a="1"/>
  <c r="U161" i="4" s="1"/>
  <c r="T161" i="4" a="1"/>
  <c r="T161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8" authorId="0" shapeId="0" xr:uid="{38127787-D8CE-46F5-8836-71B4E0CFF518}">
      <text>
        <r>
          <rPr>
            <b/>
            <sz val="9"/>
            <color indexed="81"/>
            <rFont val="Tahoma"/>
            <family val="2"/>
          </rPr>
          <t>Pong:
This value is between 0 and 1.</t>
        </r>
      </text>
    </comment>
  </commentList>
</comments>
</file>

<file path=xl/sharedStrings.xml><?xml version="1.0" encoding="utf-8"?>
<sst xmlns="http://schemas.openxmlformats.org/spreadsheetml/2006/main" count="83" uniqueCount="47">
  <si>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</si>
  <si>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</si>
  <si>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</si>
  <si>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</si>
  <si>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</si>
  <si>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</si>
  <si>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</si>
  <si>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</si>
  <si>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</si>
  <si>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</si>
  <si>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LB</t>
  </si>
  <si>
    <t>UB</t>
  </si>
  <si>
    <t>Covariance</t>
  </si>
  <si>
    <t>Group A</t>
  </si>
  <si>
    <t>Group B</t>
  </si>
  <si>
    <t>Group C</t>
  </si>
  <si>
    <t>Group D</t>
  </si>
  <si>
    <t>Lower Bound</t>
  </si>
  <si>
    <t>Upper Bound</t>
  </si>
  <si>
    <t>Self Check</t>
  </si>
  <si>
    <t xml:space="preserve">bounds on wgt </t>
  </si>
  <si>
    <t>bounds on grp</t>
  </si>
  <si>
    <t>Return</t>
  </si>
  <si>
    <t>are satisfied</t>
  </si>
  <si>
    <t>Min Risk</t>
  </si>
  <si>
    <t>Max Sharpe</t>
  </si>
  <si>
    <t>Mean</t>
  </si>
  <si>
    <t>&lt;100</t>
  </si>
  <si>
    <t>&gt;0</t>
  </si>
  <si>
    <t>Port Weight</t>
  </si>
  <si>
    <t>Vol</t>
  </si>
  <si>
    <t>sum to 1</t>
  </si>
  <si>
    <t>RF Rate</t>
  </si>
  <si>
    <t>Efficient Frontier</t>
  </si>
  <si>
    <t>Bmk</t>
  </si>
  <si>
    <t>Risk</t>
  </si>
  <si>
    <t>Max Ret</t>
  </si>
  <si>
    <t>Bmk Proj</t>
  </si>
  <si>
    <t>Return Tilt</t>
  </si>
  <si>
    <t>Lines to help visualize</t>
  </si>
  <si>
    <t>Bmk to Replicate</t>
  </si>
  <si>
    <t>Required Weights</t>
  </si>
  <si>
    <t>Bmk_Replicate</t>
  </si>
  <si>
    <t>Output check</t>
  </si>
  <si>
    <t>Bmk Risk</t>
  </si>
  <si>
    <t>Bmk Ret</t>
  </si>
  <si>
    <t>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</si>
</sst>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000"/>
    <numFmt numFmtId="169" formatCode="0.00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4" tint="0.39997558519241921"/>
      <name val="Arial Narrow"/>
      <family val="2"/>
    </font>
    <font>
      <sz val="10"/>
      <color rgb="FFFF0000"/>
      <name val="Arial Narrow"/>
      <family val="2"/>
    </font>
    <font>
      <i/>
      <sz val="10"/>
      <color rgb="FFFF0000"/>
      <name val="Arial Narrow"/>
      <family val="2"/>
    </font>
    <font>
      <i/>
      <sz val="10"/>
      <color theme="1"/>
      <name val="Arial Narrow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10" fontId="4" fillId="2" borderId="0" xfId="1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11" fontId="5" fillId="0" borderId="0" xfId="0" applyNumberFormat="1" applyFont="1"/>
    <xf numFmtId="0" fontId="5" fillId="0" borderId="0" xfId="0" applyFont="1" applyAlignment="1">
      <alignment horizontal="center"/>
    </xf>
    <xf numFmtId="165" fontId="3" fillId="0" borderId="0" xfId="0" applyNumberFormat="1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0" borderId="0" xfId="0" applyFont="1" applyFill="1"/>
    <xf numFmtId="164" fontId="3" fillId="0" borderId="0" xfId="1" applyNumberFormat="1" applyFont="1" applyBorder="1"/>
    <xf numFmtId="164" fontId="4" fillId="2" borderId="0" xfId="1" applyNumberFormat="1" applyFont="1" applyFill="1" applyBorder="1"/>
    <xf numFmtId="164" fontId="7" fillId="0" borderId="0" xfId="1" applyNumberFormat="1" applyFont="1" applyBorder="1"/>
    <xf numFmtId="0" fontId="7" fillId="2" borderId="0" xfId="0" applyFont="1" applyFill="1"/>
    <xf numFmtId="164" fontId="7" fillId="2" borderId="0" xfId="0" applyNumberFormat="1" applyFont="1" applyFill="1"/>
    <xf numFmtId="0" fontId="4" fillId="2" borderId="0" xfId="0" applyFont="1" applyFill="1" applyBorder="1"/>
    <xf numFmtId="164" fontId="3" fillId="3" borderId="3" xfId="1" applyNumberFormat="1" applyFont="1" applyFill="1" applyBorder="1"/>
    <xf numFmtId="164" fontId="3" fillId="3" borderId="4" xfId="1" applyNumberFormat="1" applyFont="1" applyFill="1" applyBorder="1"/>
    <xf numFmtId="164" fontId="3" fillId="3" borderId="10" xfId="1" applyNumberFormat="1" applyFont="1" applyFill="1" applyBorder="1"/>
    <xf numFmtId="164" fontId="3" fillId="3" borderId="9" xfId="1" applyNumberFormat="1" applyFont="1" applyFill="1" applyBorder="1"/>
    <xf numFmtId="164" fontId="7" fillId="0" borderId="0" xfId="1" applyNumberFormat="1" applyFont="1" applyFill="1" applyBorder="1"/>
    <xf numFmtId="164" fontId="3" fillId="3" borderId="1" xfId="1" quotePrefix="1" applyNumberFormat="1" applyFont="1" applyFill="1" applyBorder="1"/>
    <xf numFmtId="164" fontId="3" fillId="3" borderId="2" xfId="1" quotePrefix="1" applyNumberFormat="1" applyFont="1" applyFill="1" applyBorder="1"/>
    <xf numFmtId="164" fontId="3" fillId="3" borderId="7" xfId="1" quotePrefix="1" applyNumberFormat="1" applyFont="1" applyFill="1" applyBorder="1"/>
    <xf numFmtId="164" fontId="3" fillId="3" borderId="8" xfId="1" quotePrefix="1" applyNumberFormat="1" applyFont="1" applyFill="1" applyBorder="1"/>
    <xf numFmtId="164" fontId="3" fillId="3" borderId="11" xfId="1" quotePrefix="1" applyNumberFormat="1" applyFont="1" applyFill="1" applyBorder="1"/>
    <xf numFmtId="164" fontId="3" fillId="3" borderId="0" xfId="1" quotePrefix="1" applyNumberFormat="1" applyFont="1" applyFill="1" applyBorder="1"/>
    <xf numFmtId="164" fontId="3" fillId="0" borderId="0" xfId="1" quotePrefix="1" applyNumberFormat="1" applyFont="1" applyFill="1" applyBorder="1"/>
    <xf numFmtId="0" fontId="3" fillId="0" borderId="0" xfId="0" applyFont="1" applyFill="1" applyBorder="1"/>
    <xf numFmtId="10" fontId="5" fillId="0" borderId="0" xfId="1" applyNumberFormat="1" applyFont="1" applyAlignment="1">
      <alignment horizontal="center"/>
    </xf>
    <xf numFmtId="10" fontId="3" fillId="2" borderId="0" xfId="0" applyNumberFormat="1" applyFont="1" applyFill="1" applyBorder="1"/>
    <xf numFmtId="164" fontId="3" fillId="2" borderId="0" xfId="0" applyNumberFormat="1" applyFont="1" applyFill="1" applyBorder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0" borderId="0" xfId="1" quotePrefix="1" applyNumberFormat="1" applyFont="1" applyFill="1" applyBorder="1"/>
    <xf numFmtId="0" fontId="5" fillId="0" borderId="0" xfId="0" applyNumberFormat="1" applyFont="1" applyAlignment="1">
      <alignment horizontal="center"/>
    </xf>
    <xf numFmtId="0" fontId="3" fillId="0" borderId="1" xfId="0" applyNumberFormat="1" applyFont="1" applyBorder="1"/>
    <xf numFmtId="0" fontId="3" fillId="0" borderId="11" xfId="1" quotePrefix="1" applyNumberFormat="1" applyFont="1" applyFill="1" applyBorder="1"/>
    <xf numFmtId="0" fontId="3" fillId="0" borderId="2" xfId="1" quotePrefix="1" applyNumberFormat="1" applyFont="1" applyFill="1" applyBorder="1"/>
    <xf numFmtId="164" fontId="3" fillId="0" borderId="5" xfId="1" quotePrefix="1" applyNumberFormat="1" applyFont="1" applyFill="1" applyBorder="1"/>
    <xf numFmtId="164" fontId="3" fillId="0" borderId="12" xfId="1" quotePrefix="1" applyNumberFormat="1" applyFont="1" applyFill="1" applyBorder="1"/>
    <xf numFmtId="164" fontId="3" fillId="0" borderId="6" xfId="1" quotePrefix="1" applyNumberFormat="1" applyFont="1" applyFill="1" applyBorder="1"/>
    <xf numFmtId="164" fontId="5" fillId="0" borderId="0" xfId="1" quotePrefix="1" applyNumberFormat="1" applyFont="1" applyFill="1" applyBorder="1"/>
    <xf numFmtId="164" fontId="5" fillId="0" borderId="1" xfId="1" quotePrefix="1" applyNumberFormat="1" applyFont="1" applyFill="1" applyBorder="1"/>
    <xf numFmtId="164" fontId="5" fillId="0" borderId="2" xfId="1" quotePrefix="1" applyNumberFormat="1" applyFont="1" applyFill="1" applyBorder="1"/>
    <xf numFmtId="0" fontId="5" fillId="0" borderId="5" xfId="0" applyFont="1" applyFill="1" applyBorder="1"/>
    <xf numFmtId="0" fontId="5" fillId="0" borderId="6" xfId="0" applyFont="1" applyFill="1" applyBorder="1"/>
    <xf numFmtId="169" fontId="3" fillId="2" borderId="0" xfId="0" applyNumberFormat="1" applyFont="1" applyFill="1" applyBorder="1"/>
  </cellXfs>
  <cellStyles count="2">
    <cellStyle name="Normal" xfId="0" builtinId="0"/>
    <cellStyle name="Percent" xfId="1" builtinId="5"/>
  </cellStyles>
  <dxfs count="3">
    <dxf>
      <numFmt numFmtId="170" formatCode="_ * #,##0.00_ ;_ * \-#,##0.00_ ;_ * &quot;-&quot;??_ ;_ @_ "/>
    </dxf>
    <dxf>
      <numFmt numFmtId="170" formatCode="_ * #,##0.00_ ;_ * \-#,##0.00_ ;_ * &quot;-&quot;??_ ;_ @_ "/>
    </dxf>
    <dxf>
      <numFmt numFmtId="170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61195235210984"/>
          <c:y val="6.1111111111111109E-2"/>
          <c:w val="0.80704244902079547"/>
          <c:h val="0.78211111111111109"/>
        </c:manualLayout>
      </c:layout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BFC665-CF0F-4390-A4F8-03A6A7549A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DC70-47B9-ABD6-93E1C2EC360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F88355-6CD9-49E6-A4FE-D1E21ECC2E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70-47B9-ABD6-93E1C2EC360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9CBCB0-3A34-40E6-9EB8-96A7B3F77B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70-47B9-ABD6-93E1C2EC360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EA17E8A-91DA-4382-93F6-606C6456C1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510-4E2B-99F2-4B7A8B40042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10-4E2B-99F2-4B7A8B40042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D45E82-717E-47E0-84CC-D6B707FBDE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510-4E2B-99F2-4B7A8B40042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81156C4-C808-487F-A75E-FF91EF16F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510-4E2B-99F2-4B7A8B400426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Example1!$B$32:$B$38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0.09</c:v>
                </c:pt>
                <c:pt idx="4">
                  <c:v>0.09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Example1!$C$32:$C$38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0.11</c:v>
                </c:pt>
                <c:pt idx="4">
                  <c:v>0</c:v>
                </c:pt>
                <c:pt idx="5">
                  <c:v>0.11</c:v>
                </c:pt>
                <c:pt idx="6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Example1!$A$32:$A$38</c15:f>
                <c15:dlblRangeCache>
                  <c:ptCount val="7"/>
                  <c:pt idx="0">
                    <c:v>Min Risk</c:v>
                  </c:pt>
                  <c:pt idx="1">
                    <c:v>Max Ret</c:v>
                  </c:pt>
                  <c:pt idx="2">
                    <c:v>Max Sharpe</c:v>
                  </c:pt>
                  <c:pt idx="3">
                    <c:v>Bmk</c:v>
                  </c:pt>
                  <c:pt idx="4">
                    <c:v>Bmk Risk</c:v>
                  </c:pt>
                  <c:pt idx="5">
                    <c:v>Bmk Ret</c:v>
                  </c:pt>
                  <c:pt idx="6">
                    <c:v>Bmk Proj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Example1!$O$16:$O$23</c:f>
              <c:numCache>
                <c:formatCode>0.0%</c:formatCode>
                <c:ptCount val="8"/>
                <c:pt idx="0">
                  <c:v>0.09</c:v>
                </c:pt>
                <c:pt idx="1">
                  <c:v>0.09</c:v>
                </c:pt>
                <c:pt idx="3">
                  <c:v>0.09</c:v>
                </c:pt>
                <c:pt idx="4">
                  <c:v>0</c:v>
                </c:pt>
                <c:pt idx="6">
                  <c:v>0.09</c:v>
                </c:pt>
                <c:pt idx="7">
                  <c:v>0</c:v>
                </c:pt>
              </c:numCache>
            </c:numRef>
          </c:xVal>
          <c:yVal>
            <c:numRef>
              <c:f>Example1!$P$16:$P$23</c:f>
              <c:numCache>
                <c:formatCode>0.0%</c:formatCode>
                <c:ptCount val="8"/>
                <c:pt idx="0">
                  <c:v>0.11</c:v>
                </c:pt>
                <c:pt idx="1">
                  <c:v>0</c:v>
                </c:pt>
                <c:pt idx="3">
                  <c:v>0.11</c:v>
                </c:pt>
                <c:pt idx="4">
                  <c:v>0.11</c:v>
                </c:pt>
                <c:pt idx="6">
                  <c:v>0.11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10-4E2B-99F2-4B7A8B400426}"/>
            </c:ext>
          </c:extLst>
        </c:ser>
        <c:ser>
          <c:idx val="0"/>
          <c:order val="2"/>
          <c:tx>
            <c:strRef>
              <c:f>Example1!$A$40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Example1!$B$41:$B$90</c:f>
              <c:numCache>
                <c:formatCode>0.0%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Example1!$C$41:$C$90</c:f>
              <c:numCache>
                <c:formatCode>0.0%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7B-4DB4-BF84-0E76BDF907A8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bg1">
                    <a:lumMod val="75000"/>
                  </a:schemeClr>
                </a:solidFill>
              </a:ln>
            </c:spPr>
          </c:marker>
          <c:xVal>
            <c:numRef>
              <c:f>Example1!$D$94:$D$163</c:f>
              <c:numCache>
                <c:formatCode>0.00%</c:formatCode>
                <c:ptCount val="70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 formatCode="0.000%">
                  <c:v>0.06</c:v>
                </c:pt>
                <c:pt idx="18" formatCode="0.000%">
                  <c:v>0.06</c:v>
                </c:pt>
                <c:pt idx="19" formatCode="0.000%">
                  <c:v>0.06</c:v>
                </c:pt>
                <c:pt idx="20" formatCode="0.000%">
                  <c:v>0.06</c:v>
                </c:pt>
                <c:pt idx="21" formatCode="0.000%">
                  <c:v>0.06</c:v>
                </c:pt>
                <c:pt idx="22" formatCode="0.000%">
                  <c:v>0.06</c:v>
                </c:pt>
                <c:pt idx="23" formatCode="0.000%">
                  <c:v>0.06</c:v>
                </c:pt>
                <c:pt idx="24" formatCode="0.000%">
                  <c:v>0.06</c:v>
                </c:pt>
                <c:pt idx="25" formatCode="0.000%">
                  <c:v>0.06</c:v>
                </c:pt>
                <c:pt idx="26" formatCode="0.000%">
                  <c:v>0.06</c:v>
                </c:pt>
                <c:pt idx="27" formatCode="0.000%">
                  <c:v>0.06</c:v>
                </c:pt>
                <c:pt idx="28" formatCode="0.000%">
                  <c:v>0.06</c:v>
                </c:pt>
                <c:pt idx="29" formatCode="0.000%">
                  <c:v>0.06</c:v>
                </c:pt>
                <c:pt idx="30" formatCode="0.000%">
                  <c:v>0.06</c:v>
                </c:pt>
                <c:pt idx="31" formatCode="0.000%">
                  <c:v>0.06</c:v>
                </c:pt>
                <c:pt idx="32" formatCode="0.000%">
                  <c:v>0.06</c:v>
                </c:pt>
                <c:pt idx="33" formatCode="0.000%">
                  <c:v>0.06</c:v>
                </c:pt>
                <c:pt idx="34" formatCode="0.000%">
                  <c:v>0.08</c:v>
                </c:pt>
                <c:pt idx="35" formatCode="0.000%">
                  <c:v>0.08</c:v>
                </c:pt>
                <c:pt idx="36" formatCode="0.000%">
                  <c:v>0.08</c:v>
                </c:pt>
                <c:pt idx="37" formatCode="0.000%">
                  <c:v>0.08</c:v>
                </c:pt>
                <c:pt idx="38" formatCode="0.000%">
                  <c:v>0.08</c:v>
                </c:pt>
                <c:pt idx="39" formatCode="0.000%">
                  <c:v>0.08</c:v>
                </c:pt>
                <c:pt idx="40" formatCode="0.000%">
                  <c:v>0.08</c:v>
                </c:pt>
                <c:pt idx="41" formatCode="0.000%">
                  <c:v>0.08</c:v>
                </c:pt>
                <c:pt idx="42" formatCode="0.000%">
                  <c:v>0.08</c:v>
                </c:pt>
                <c:pt idx="43" formatCode="0.000%">
                  <c:v>0.08</c:v>
                </c:pt>
                <c:pt idx="44" formatCode="0.000%">
                  <c:v>0.08</c:v>
                </c:pt>
                <c:pt idx="45" formatCode="0.000%">
                  <c:v>0.08</c:v>
                </c:pt>
                <c:pt idx="46" formatCode="0.000%">
                  <c:v>0.08</c:v>
                </c:pt>
                <c:pt idx="47" formatCode="0.000%">
                  <c:v>0.08</c:v>
                </c:pt>
                <c:pt idx="48" formatCode="0.000%">
                  <c:v>0.08</c:v>
                </c:pt>
                <c:pt idx="49" formatCode="0.000%">
                  <c:v>0.08</c:v>
                </c:pt>
                <c:pt idx="50" formatCode="0.000%">
                  <c:v>0.08</c:v>
                </c:pt>
                <c:pt idx="51" formatCode="0.000%">
                  <c:v>0.1</c:v>
                </c:pt>
                <c:pt idx="52" formatCode="0.000%">
                  <c:v>0.1</c:v>
                </c:pt>
                <c:pt idx="53" formatCode="0.000%">
                  <c:v>0.1</c:v>
                </c:pt>
                <c:pt idx="54" formatCode="0.000%">
                  <c:v>0.1</c:v>
                </c:pt>
                <c:pt idx="55" formatCode="0.000%">
                  <c:v>0.1</c:v>
                </c:pt>
                <c:pt idx="56" formatCode="0.000%">
                  <c:v>0.1</c:v>
                </c:pt>
                <c:pt idx="57" formatCode="0.000%">
                  <c:v>0.1</c:v>
                </c:pt>
                <c:pt idx="58" formatCode="0.000%">
                  <c:v>0.1</c:v>
                </c:pt>
                <c:pt idx="59" formatCode="0.000%">
                  <c:v>0.1</c:v>
                </c:pt>
                <c:pt idx="60" formatCode="0.000%">
                  <c:v>0.1</c:v>
                </c:pt>
                <c:pt idx="61" formatCode="0.000%">
                  <c:v>0.1</c:v>
                </c:pt>
                <c:pt idx="62" formatCode="0.000%">
                  <c:v>0.1</c:v>
                </c:pt>
                <c:pt idx="63" formatCode="0.000%">
                  <c:v>0.1</c:v>
                </c:pt>
                <c:pt idx="64" formatCode="0.000%">
                  <c:v>0.1</c:v>
                </c:pt>
                <c:pt idx="65" formatCode="0.000%">
                  <c:v>0.1</c:v>
                </c:pt>
                <c:pt idx="66" formatCode="0.000%">
                  <c:v>0.1</c:v>
                </c:pt>
                <c:pt idx="67" formatCode="0.000%">
                  <c:v>0.1</c:v>
                </c:pt>
                <c:pt idx="68" formatCode="0.000%">
                  <c:v>0.12000000000000001</c:v>
                </c:pt>
                <c:pt idx="69" formatCode="0.000%">
                  <c:v>0.12000000000000001</c:v>
                </c:pt>
              </c:numCache>
            </c:numRef>
          </c:xVal>
          <c:yVal>
            <c:numRef>
              <c:f>Example1!$E$94:$E$163</c:f>
              <c:numCache>
                <c:formatCode>0.0%</c:formatCode>
                <c:ptCount val="70"/>
                <c:pt idx="0" formatCode="0.00%">
                  <c:v>0.09</c:v>
                </c:pt>
                <c:pt idx="1">
                  <c:v>9.5000000000000001E-2</c:v>
                </c:pt>
                <c:pt idx="2">
                  <c:v>0.1</c:v>
                </c:pt>
                <c:pt idx="3">
                  <c:v>0.10500000000000001</c:v>
                </c:pt>
                <c:pt idx="4">
                  <c:v>0.11000000000000001</c:v>
                </c:pt>
                <c:pt idx="5">
                  <c:v>0.11500000000000002</c:v>
                </c:pt>
                <c:pt idx="6">
                  <c:v>0.12000000000000002</c:v>
                </c:pt>
                <c:pt idx="7">
                  <c:v>0.12500000000000003</c:v>
                </c:pt>
                <c:pt idx="8">
                  <c:v>0.13000000000000003</c:v>
                </c:pt>
                <c:pt idx="9">
                  <c:v>0.13500000000000004</c:v>
                </c:pt>
                <c:pt idx="10">
                  <c:v>0.14000000000000004</c:v>
                </c:pt>
                <c:pt idx="11">
                  <c:v>0.14500000000000005</c:v>
                </c:pt>
                <c:pt idx="12">
                  <c:v>0.15000000000000005</c:v>
                </c:pt>
                <c:pt idx="13">
                  <c:v>0.15500000000000005</c:v>
                </c:pt>
                <c:pt idx="14">
                  <c:v>0.16000000000000006</c:v>
                </c:pt>
                <c:pt idx="15">
                  <c:v>0.16500000000000006</c:v>
                </c:pt>
                <c:pt idx="16">
                  <c:v>0.17000000000000007</c:v>
                </c:pt>
                <c:pt idx="17">
                  <c:v>0.09</c:v>
                </c:pt>
                <c:pt idx="18">
                  <c:v>9.5000000000000001E-2</c:v>
                </c:pt>
                <c:pt idx="19">
                  <c:v>0.1</c:v>
                </c:pt>
                <c:pt idx="20">
                  <c:v>0.10500000000000001</c:v>
                </c:pt>
                <c:pt idx="21">
                  <c:v>0.11000000000000001</c:v>
                </c:pt>
                <c:pt idx="22">
                  <c:v>0.11500000000000002</c:v>
                </c:pt>
                <c:pt idx="23">
                  <c:v>0.12000000000000002</c:v>
                </c:pt>
                <c:pt idx="24">
                  <c:v>0.12500000000000003</c:v>
                </c:pt>
                <c:pt idx="25">
                  <c:v>0.13000000000000003</c:v>
                </c:pt>
                <c:pt idx="26">
                  <c:v>0.13500000000000004</c:v>
                </c:pt>
                <c:pt idx="27">
                  <c:v>0.14000000000000004</c:v>
                </c:pt>
                <c:pt idx="28">
                  <c:v>0.14500000000000005</c:v>
                </c:pt>
                <c:pt idx="29">
                  <c:v>0.15000000000000005</c:v>
                </c:pt>
                <c:pt idx="30">
                  <c:v>0.15500000000000005</c:v>
                </c:pt>
                <c:pt idx="31">
                  <c:v>0.16000000000000006</c:v>
                </c:pt>
                <c:pt idx="32">
                  <c:v>0.16500000000000006</c:v>
                </c:pt>
                <c:pt idx="33">
                  <c:v>0.17000000000000007</c:v>
                </c:pt>
                <c:pt idx="34">
                  <c:v>0.09</c:v>
                </c:pt>
                <c:pt idx="35">
                  <c:v>9.5000000000000001E-2</c:v>
                </c:pt>
                <c:pt idx="36">
                  <c:v>0.1</c:v>
                </c:pt>
                <c:pt idx="37">
                  <c:v>0.10500000000000001</c:v>
                </c:pt>
                <c:pt idx="38">
                  <c:v>0.11000000000000001</c:v>
                </c:pt>
                <c:pt idx="39">
                  <c:v>0.11500000000000002</c:v>
                </c:pt>
                <c:pt idx="40">
                  <c:v>0.12000000000000002</c:v>
                </c:pt>
                <c:pt idx="41">
                  <c:v>0.12500000000000003</c:v>
                </c:pt>
                <c:pt idx="42">
                  <c:v>0.13000000000000003</c:v>
                </c:pt>
                <c:pt idx="43">
                  <c:v>0.13500000000000004</c:v>
                </c:pt>
                <c:pt idx="44">
                  <c:v>0.14000000000000004</c:v>
                </c:pt>
                <c:pt idx="45">
                  <c:v>0.14500000000000005</c:v>
                </c:pt>
                <c:pt idx="46">
                  <c:v>0.15000000000000005</c:v>
                </c:pt>
                <c:pt idx="47">
                  <c:v>0.15500000000000005</c:v>
                </c:pt>
                <c:pt idx="48">
                  <c:v>0.16000000000000006</c:v>
                </c:pt>
                <c:pt idx="49">
                  <c:v>0.16500000000000006</c:v>
                </c:pt>
                <c:pt idx="50">
                  <c:v>0.17000000000000007</c:v>
                </c:pt>
                <c:pt idx="51">
                  <c:v>0.09</c:v>
                </c:pt>
                <c:pt idx="52">
                  <c:v>9.5000000000000001E-2</c:v>
                </c:pt>
                <c:pt idx="53">
                  <c:v>0.1</c:v>
                </c:pt>
                <c:pt idx="54">
                  <c:v>0.10500000000000001</c:v>
                </c:pt>
                <c:pt idx="55">
                  <c:v>0.11000000000000001</c:v>
                </c:pt>
                <c:pt idx="56">
                  <c:v>0.11500000000000002</c:v>
                </c:pt>
                <c:pt idx="57">
                  <c:v>0.12000000000000002</c:v>
                </c:pt>
                <c:pt idx="58">
                  <c:v>0.12500000000000003</c:v>
                </c:pt>
                <c:pt idx="59">
                  <c:v>0.13000000000000003</c:v>
                </c:pt>
                <c:pt idx="60">
                  <c:v>0.13500000000000004</c:v>
                </c:pt>
                <c:pt idx="61">
                  <c:v>0.14000000000000004</c:v>
                </c:pt>
                <c:pt idx="62">
                  <c:v>0.14500000000000005</c:v>
                </c:pt>
                <c:pt idx="63">
                  <c:v>0.15000000000000005</c:v>
                </c:pt>
                <c:pt idx="64">
                  <c:v>0.15500000000000005</c:v>
                </c:pt>
                <c:pt idx="65">
                  <c:v>0.16000000000000006</c:v>
                </c:pt>
                <c:pt idx="66">
                  <c:v>0.16500000000000006</c:v>
                </c:pt>
                <c:pt idx="67">
                  <c:v>0.17000000000000007</c:v>
                </c:pt>
                <c:pt idx="68">
                  <c:v>0.09</c:v>
                </c:pt>
                <c:pt idx="69">
                  <c:v>9.5000000000000001E-2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BE-471E-AE9F-C3E7DD28601F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FF0000"/>
              </a:solidFill>
              <a:ln w="3175">
                <a:solidFill>
                  <a:schemeClr val="bg1">
                    <a:lumMod val="75000"/>
                  </a:schemeClr>
                </a:solidFill>
              </a:ln>
            </c:spPr>
          </c:marker>
          <c:xVal>
            <c:numRef>
              <c:f>Example1!$B$94:$B$163</c:f>
              <c:numCache>
                <c:formatCode>0.0%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#N/A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xVal>
          <c:yVal>
            <c:numRef>
              <c:f>Example1!$C$94:$C$163</c:f>
              <c:numCache>
                <c:formatCode>0.0%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#N/A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2-423A-BC77-62F0F5C5CCA1}"/>
            </c:ext>
          </c:extLst>
        </c:ser>
        <c:ser>
          <c:idx val="5"/>
          <c:order val="5"/>
          <c:spPr>
            <a:ln w="1270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Example1!$D$41:$D$90</c:f>
              <c:numCache>
                <c:formatCode>0.0%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xVal>
          <c:yVal>
            <c:numRef>
              <c:f>Example1!$E$41:$E$90</c:f>
              <c:numCache>
                <c:formatCode>0.0%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EF-4441-86DA-56898951E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9522944"/>
        <c:axId val="520840320"/>
      </c:scatterChart>
      <c:valAx>
        <c:axId val="519522944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20840320"/>
        <c:crosses val="autoZero"/>
        <c:crossBetween val="midCat"/>
      </c:valAx>
      <c:valAx>
        <c:axId val="520840320"/>
        <c:scaling>
          <c:orientation val="minMax"/>
          <c:min val="5.000000000000001E-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1952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7409</xdr:colOff>
      <xdr:row>12</xdr:row>
      <xdr:rowOff>143934</xdr:rowOff>
    </xdr:from>
    <xdr:to>
      <xdr:col>14</xdr:col>
      <xdr:colOff>312209</xdr:colOff>
      <xdr:row>26</xdr:row>
      <xdr:rowOff>162984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I174"/>
  <sheetViews>
    <sheetView tabSelected="1" topLeftCell="A7" zoomScale="90" zoomScaleNormal="90" workbookViewId="0">
      <selection activeCell="F58" sqref="F58"/>
    </sheetView>
  </sheetViews>
  <sheetFormatPr defaultRowHeight="12.75" x14ac:dyDescent="0.2"/>
  <cols>
    <col min="1" max="1" width="14" style="1" customWidth="1"/>
    <col min="2" max="3" width="9.28515625" style="1" bestFit="1" customWidth="1"/>
    <col min="4" max="15" width="9.140625" style="1" customWidth="1"/>
    <col min="16" max="17" width="9.28515625" style="1" bestFit="1" customWidth="1"/>
    <col min="18" max="18" width="9.140625" style="1" customWidth="1"/>
    <col min="19" max="21" width="9.28515625" style="1" bestFit="1" customWidth="1"/>
    <col min="22" max="22" width="9.140625" style="1"/>
    <col min="23" max="23" width="9.85546875" style="1" bestFit="1" customWidth="1"/>
    <col min="24" max="24" width="11.5703125" style="1" bestFit="1" customWidth="1"/>
    <col min="25" max="26" width="9.5703125" style="1" bestFit="1" customWidth="1"/>
    <col min="27" max="31" width="9.42578125" style="1" bestFit="1" customWidth="1"/>
    <col min="32" max="32" width="9.28515625" style="1" bestFit="1" customWidth="1"/>
    <col min="33" max="16384" width="9.140625" style="1"/>
  </cols>
  <sheetData>
    <row r="1" spans="1:26" ht="15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</row>
    <row r="2" spans="1:26" ht="15" x14ac:dyDescent="0.25">
      <c r="A2" s="1" t="s">
        <v>12</v>
      </c>
      <c r="B2" s="9" t="s">
        <v>0</v>
      </c>
      <c r="C2" s="9" t="s">
        <v>1</v>
      </c>
      <c r="D2" s="9" t="s">
        <v>2</v>
      </c>
      <c r="E2" s="9" t="s">
        <v>3</v>
      </c>
      <c r="F2" s="9" t="s">
        <v>4</v>
      </c>
      <c r="G2" s="9" t="s">
        <v>5</v>
      </c>
      <c r="H2" s="9" t="s">
        <v>6</v>
      </c>
      <c r="I2" s="9" t="s">
        <v>7</v>
      </c>
      <c r="J2" s="9" t="s">
        <v>8</v>
      </c>
      <c r="K2" s="9" t="s">
        <v>9</v>
      </c>
      <c r="M2" s="9" t="s">
        <v>26</v>
      </c>
      <c r="O2" s="9" t="s">
        <v>10</v>
      </c>
      <c r="P2" s="1" t="s">
        <v>11</v>
      </c>
      <c r="Y2"/>
      <c r="Z2"/>
    </row>
    <row r="3" spans="1:26" ht="15" x14ac:dyDescent="0.25">
      <c r="A3" s="1" t="s">
        <v>0</v>
      </c>
      <c r="B3" s="4">
        <v>2.2772180411433036E-2</v>
      </c>
      <c r="C3" s="4">
        <v>5.9112588530366109E-3</v>
      </c>
      <c r="D3" s="4">
        <v>9.304277878942252E-3</v>
      </c>
      <c r="E3" s="4">
        <v>2.7517392973994413E-4</v>
      </c>
      <c r="F3" s="4">
        <v>2.0180194785925148E-3</v>
      </c>
      <c r="G3" s="4">
        <v>-1.6005060348732119E-4</v>
      </c>
      <c r="H3" s="4">
        <v>1.0439288663063904E-2</v>
      </c>
      <c r="I3" s="4">
        <v>-6.0361724234842106E-3</v>
      </c>
      <c r="J3" s="4">
        <v>-7.1615963327599994E-3</v>
      </c>
      <c r="K3" s="4">
        <v>4.0427024688185261E-3</v>
      </c>
      <c r="M3" s="4">
        <v>0.16977435164435639</v>
      </c>
      <c r="O3" s="4">
        <v>0</v>
      </c>
      <c r="P3" s="4">
        <v>1</v>
      </c>
      <c r="Y3"/>
      <c r="Z3"/>
    </row>
    <row r="4" spans="1:26" ht="15" x14ac:dyDescent="0.25">
      <c r="A4" s="1" t="s">
        <v>1</v>
      </c>
      <c r="B4" s="4">
        <v>5.9112588530366101E-3</v>
      </c>
      <c r="C4" s="4">
        <v>1.7966919930783253E-3</v>
      </c>
      <c r="D4" s="4">
        <v>2.4664050756072293E-3</v>
      </c>
      <c r="E4" s="4">
        <v>1.0226251671882073E-4</v>
      </c>
      <c r="F4" s="4">
        <v>5.5223292279320355E-4</v>
      </c>
      <c r="G4" s="4">
        <v>-6.1999167519939635E-6</v>
      </c>
      <c r="H4" s="4">
        <v>2.7027284431661719E-3</v>
      </c>
      <c r="I4" s="4">
        <v>-1.0630059013096722E-3</v>
      </c>
      <c r="J4" s="4">
        <v>-1.3985053407747231E-3</v>
      </c>
      <c r="K4" s="4">
        <v>1.1030135650496721E-3</v>
      </c>
      <c r="M4" s="4">
        <v>0.11898276827284415</v>
      </c>
      <c r="O4" s="4">
        <v>0.03</v>
      </c>
      <c r="P4" s="4">
        <v>0.03</v>
      </c>
      <c r="Y4"/>
      <c r="Z4"/>
    </row>
    <row r="5" spans="1:26" ht="15" x14ac:dyDescent="0.25">
      <c r="A5" s="1" t="s">
        <v>2</v>
      </c>
      <c r="B5" s="4">
        <v>9.304277878942252E-3</v>
      </c>
      <c r="C5" s="4">
        <v>2.4664050756072293E-3</v>
      </c>
      <c r="D5" s="4">
        <v>2.5753759524642025E-2</v>
      </c>
      <c r="E5" s="4">
        <v>8.1582997452575394E-4</v>
      </c>
      <c r="F5" s="4">
        <v>7.1432596388093881E-3</v>
      </c>
      <c r="G5" s="4">
        <v>9.6374150389877488E-6</v>
      </c>
      <c r="H5" s="4">
        <v>-2.5063430934907658E-3</v>
      </c>
      <c r="I5" s="4">
        <v>-9.1033533695772106E-3</v>
      </c>
      <c r="J5" s="4">
        <v>-1.1111003573186151E-2</v>
      </c>
      <c r="K5" s="4">
        <v>2.3948621571842849E-3</v>
      </c>
      <c r="M5" s="4">
        <v>0.23801110468852027</v>
      </c>
      <c r="O5" s="4">
        <v>0</v>
      </c>
      <c r="P5" s="4">
        <v>0.1</v>
      </c>
      <c r="Y5"/>
      <c r="Z5"/>
    </row>
    <row r="6" spans="1:26" ht="15" x14ac:dyDescent="0.25">
      <c r="A6" s="1" t="s">
        <v>3</v>
      </c>
      <c r="B6" s="4">
        <v>2.7517392973994413E-4</v>
      </c>
      <c r="C6" s="4">
        <v>1.0226251671882073E-4</v>
      </c>
      <c r="D6" s="4">
        <v>8.1582997452575394E-4</v>
      </c>
      <c r="E6" s="4">
        <v>2.4943293239240993E-3</v>
      </c>
      <c r="F6" s="4">
        <v>1.0036656462648634E-3</v>
      </c>
      <c r="G6" s="4">
        <v>1.8988083815953068E-5</v>
      </c>
      <c r="H6" s="4">
        <v>-1.8407999859970906E-3</v>
      </c>
      <c r="I6" s="4">
        <v>-1.1742912273690646E-3</v>
      </c>
      <c r="J6" s="4">
        <v>-1.5552071985700197E-3</v>
      </c>
      <c r="K6" s="4">
        <v>2.7398501689909532E-4</v>
      </c>
      <c r="M6" s="4">
        <v>0.10779532356208854</v>
      </c>
      <c r="O6" s="4">
        <v>0</v>
      </c>
      <c r="P6" s="4">
        <v>7.0000000000000007E-2</v>
      </c>
      <c r="Y6"/>
      <c r="Z6"/>
    </row>
    <row r="7" spans="1:26" ht="15" x14ac:dyDescent="0.25">
      <c r="A7" s="1" t="s">
        <v>4</v>
      </c>
      <c r="B7" s="4">
        <v>2.0180194785925148E-3</v>
      </c>
      <c r="C7" s="4">
        <v>5.5223292279320344E-4</v>
      </c>
      <c r="D7" s="4">
        <v>7.1432596388093881E-3</v>
      </c>
      <c r="E7" s="4">
        <v>1.0036656462648634E-3</v>
      </c>
      <c r="F7" s="4">
        <v>5.0060224106090534E-3</v>
      </c>
      <c r="G7" s="4">
        <v>6.5276009311625787E-5</v>
      </c>
      <c r="H7" s="4">
        <v>-3.3092156555067265E-3</v>
      </c>
      <c r="I7" s="4">
        <v>-3.6996691332525349E-3</v>
      </c>
      <c r="J7" s="4">
        <v>-5.4105083524100608E-3</v>
      </c>
      <c r="K7" s="4">
        <v>5.7334431425873638E-4</v>
      </c>
      <c r="M7" s="4">
        <v>9.9894610589501331E-2</v>
      </c>
      <c r="O7" s="4">
        <v>0</v>
      </c>
      <c r="P7" s="4">
        <v>1</v>
      </c>
      <c r="Y7"/>
      <c r="Z7"/>
    </row>
    <row r="8" spans="1:26" ht="15" x14ac:dyDescent="0.25">
      <c r="A8" s="1" t="s">
        <v>5</v>
      </c>
      <c r="B8" s="4">
        <v>-1.6005060348732122E-4</v>
      </c>
      <c r="C8" s="4">
        <v>-6.1999167519939644E-6</v>
      </c>
      <c r="D8" s="4">
        <v>9.6374150389877488E-6</v>
      </c>
      <c r="E8" s="4">
        <v>1.8988083815953068E-5</v>
      </c>
      <c r="F8" s="4">
        <v>6.5276009311625787E-5</v>
      </c>
      <c r="G8" s="4">
        <v>4.2472131810310709E-5</v>
      </c>
      <c r="H8" s="4">
        <v>-3.2485352103511246E-4</v>
      </c>
      <c r="I8" s="4">
        <v>-6.4433343415727114E-5</v>
      </c>
      <c r="J8" s="4">
        <v>-1.4914411238743102E-4</v>
      </c>
      <c r="K8" s="4">
        <v>1.4487911832810763E-5</v>
      </c>
      <c r="M8" s="4">
        <v>7.9345407386023137E-2</v>
      </c>
      <c r="O8" s="4">
        <v>0</v>
      </c>
      <c r="P8" s="4">
        <v>0.25</v>
      </c>
      <c r="Y8"/>
      <c r="Z8"/>
    </row>
    <row r="9" spans="1:26" ht="15" x14ac:dyDescent="0.25">
      <c r="A9" s="1" t="s">
        <v>6</v>
      </c>
      <c r="B9" s="4">
        <v>1.0439288663063904E-2</v>
      </c>
      <c r="C9" s="4">
        <v>2.7027284431661719E-3</v>
      </c>
      <c r="D9" s="4">
        <v>-2.5063430934907658E-3</v>
      </c>
      <c r="E9" s="4">
        <v>-1.840799985997091E-3</v>
      </c>
      <c r="F9" s="4">
        <v>-3.3092156555067265E-3</v>
      </c>
      <c r="G9" s="4">
        <v>-3.2485352103511241E-4</v>
      </c>
      <c r="H9" s="4">
        <v>2.5661090747955542E-2</v>
      </c>
      <c r="I9" s="4">
        <v>1.3325743296761658E-2</v>
      </c>
      <c r="J9" s="4">
        <v>1.500973669341004E-2</v>
      </c>
      <c r="K9" s="4">
        <v>1.1654877299848772E-3</v>
      </c>
      <c r="M9" s="4">
        <v>6.05770735762301E-2</v>
      </c>
      <c r="O9" s="4">
        <v>0</v>
      </c>
      <c r="P9" s="4">
        <v>0.25</v>
      </c>
      <c r="Y9"/>
      <c r="Z9"/>
    </row>
    <row r="10" spans="1:26" ht="15" x14ac:dyDescent="0.25">
      <c r="A10" s="1" t="s">
        <v>7</v>
      </c>
      <c r="B10" s="4">
        <v>-6.0361724234842106E-3</v>
      </c>
      <c r="C10" s="4">
        <v>-1.0630059013096722E-3</v>
      </c>
      <c r="D10" s="4">
        <v>-9.1033533695772124E-3</v>
      </c>
      <c r="E10" s="4">
        <v>-1.1742912273690646E-3</v>
      </c>
      <c r="F10" s="4">
        <v>-3.6996691332525358E-3</v>
      </c>
      <c r="G10" s="4">
        <v>-6.4433343415727128E-5</v>
      </c>
      <c r="H10" s="4">
        <v>1.3325743296761658E-2</v>
      </c>
      <c r="I10" s="4">
        <v>2.8714066135482379E-2</v>
      </c>
      <c r="J10" s="4">
        <v>2.7061949635047745E-2</v>
      </c>
      <c r="K10" s="4">
        <v>-1.8987972643857483E-3</v>
      </c>
      <c r="M10" s="4">
        <v>8.2176164668931406E-2</v>
      </c>
      <c r="O10" s="4">
        <v>0</v>
      </c>
      <c r="P10" s="4">
        <v>1</v>
      </c>
      <c r="Y10"/>
      <c r="Z10"/>
    </row>
    <row r="11" spans="1:26" ht="15" x14ac:dyDescent="0.25">
      <c r="A11" s="1" t="s">
        <v>8</v>
      </c>
      <c r="B11" s="4">
        <v>-7.1615963327599994E-3</v>
      </c>
      <c r="C11" s="4">
        <v>-1.3985053407747231E-3</v>
      </c>
      <c r="D11" s="4">
        <v>-1.1111003573186151E-2</v>
      </c>
      <c r="E11" s="4">
        <v>-1.5552071985700201E-3</v>
      </c>
      <c r="F11" s="4">
        <v>-5.4105083524100608E-3</v>
      </c>
      <c r="G11" s="4">
        <v>-1.4914411238743102E-4</v>
      </c>
      <c r="H11" s="4">
        <v>1.500973669341004E-2</v>
      </c>
      <c r="I11" s="4">
        <v>2.7061949635047745E-2</v>
      </c>
      <c r="J11" s="4">
        <v>2.9839935305873623E-2</v>
      </c>
      <c r="K11" s="4">
        <v>-2.0958246175076583E-3</v>
      </c>
      <c r="M11" s="4">
        <v>2.2931565865803805E-2</v>
      </c>
      <c r="O11" s="4">
        <v>0.05</v>
      </c>
      <c r="P11" s="4">
        <v>0.05</v>
      </c>
      <c r="Y11"/>
      <c r="Z11"/>
    </row>
    <row r="12" spans="1:26" ht="15" x14ac:dyDescent="0.25">
      <c r="A12" s="1" t="s">
        <v>9</v>
      </c>
      <c r="B12" s="4">
        <v>4.0427024688185261E-3</v>
      </c>
      <c r="C12" s="4">
        <v>1.1030135650496719E-3</v>
      </c>
      <c r="D12" s="4">
        <v>2.3948621571842849E-3</v>
      </c>
      <c r="E12" s="4">
        <v>2.7398501689909532E-4</v>
      </c>
      <c r="F12" s="4">
        <v>5.7334431425873638E-4</v>
      </c>
      <c r="G12" s="4">
        <v>1.4487911832810762E-5</v>
      </c>
      <c r="H12" s="4">
        <v>1.1654877299848774E-3</v>
      </c>
      <c r="I12" s="4">
        <v>-1.8987972643857483E-3</v>
      </c>
      <c r="J12" s="4">
        <v>-2.0958246175076583E-3</v>
      </c>
      <c r="K12" s="4">
        <v>1.4227528464349109E-3</v>
      </c>
      <c r="M12" s="4">
        <v>0.15512204118640227</v>
      </c>
      <c r="O12" s="4">
        <v>0</v>
      </c>
      <c r="P12" s="4">
        <v>0.1</v>
      </c>
      <c r="Y12"/>
      <c r="Z12"/>
    </row>
    <row r="13" spans="1:26" x14ac:dyDescent="0.2">
      <c r="B13" s="9"/>
      <c r="C13" s="9"/>
      <c r="D13" s="9"/>
      <c r="E13" s="9"/>
      <c r="F13" s="9"/>
      <c r="G13" s="9"/>
      <c r="H13" s="9"/>
      <c r="I13" s="9"/>
      <c r="J13" s="9"/>
      <c r="K13" s="9"/>
    </row>
    <row r="15" spans="1:26" x14ac:dyDescent="0.2">
      <c r="D15" s="10" t="s">
        <v>27</v>
      </c>
      <c r="E15" s="10" t="s">
        <v>28</v>
      </c>
      <c r="O15" s="16" t="s">
        <v>39</v>
      </c>
      <c r="P15" s="16"/>
    </row>
    <row r="16" spans="1:26" x14ac:dyDescent="0.2">
      <c r="B16" s="1" t="s">
        <v>13</v>
      </c>
      <c r="C16" s="1" t="s">
        <v>14</v>
      </c>
      <c r="D16" s="1" t="s">
        <v>15</v>
      </c>
      <c r="E16" s="1" t="s">
        <v>16</v>
      </c>
      <c r="F16" s="1" t="s">
        <v>46</v>
      </c>
      <c r="O16" s="17">
        <f>B$35</f>
        <v>0.09</v>
      </c>
      <c r="P16" s="17">
        <f>C$35</f>
        <v>0.11</v>
      </c>
    </row>
    <row r="17" spans="1:35" x14ac:dyDescent="0.2">
      <c r="A17" s="1" t="s">
        <v>0</v>
      </c>
      <c r="B17" s="5">
        <v>1</v>
      </c>
      <c r="C17" s="5">
        <v>0</v>
      </c>
      <c r="D17" s="5">
        <v>0.5</v>
      </c>
      <c r="E17" s="5">
        <v>1</v>
      </c>
      <c r="F17" s="5">
        <v>1</v>
      </c>
      <c r="O17" s="17">
        <f>B$36</f>
        <v>0.09</v>
      </c>
      <c r="P17" s="17" t="e">
        <f ca="1">C$36</f>
        <v>#NAME?</v>
      </c>
    </row>
    <row r="18" spans="1:35" x14ac:dyDescent="0.2">
      <c r="A18" s="1" t="s">
        <v>1</v>
      </c>
      <c r="B18" s="5">
        <v>0</v>
      </c>
      <c r="C18" s="5">
        <v>0</v>
      </c>
      <c r="D18" s="5">
        <v>0.1</v>
      </c>
      <c r="E18" s="5">
        <v>0.2</v>
      </c>
      <c r="F18" s="5">
        <v>1</v>
      </c>
      <c r="O18" s="16"/>
      <c r="P18" s="16"/>
    </row>
    <row r="19" spans="1:35" x14ac:dyDescent="0.2">
      <c r="A19" s="1" t="s">
        <v>2</v>
      </c>
      <c r="B19" s="5">
        <v>0</v>
      </c>
      <c r="C19" s="5">
        <v>0</v>
      </c>
      <c r="D19" s="5">
        <v>0.2</v>
      </c>
      <c r="E19" s="5">
        <v>0.3</v>
      </c>
      <c r="F19" s="5">
        <v>1</v>
      </c>
      <c r="O19" s="17">
        <f>B$35</f>
        <v>0.09</v>
      </c>
      <c r="P19" s="17">
        <f>C$35</f>
        <v>0.11</v>
      </c>
    </row>
    <row r="20" spans="1:35" x14ac:dyDescent="0.2">
      <c r="A20" s="1" t="s">
        <v>3</v>
      </c>
      <c r="B20" s="5">
        <v>0</v>
      </c>
      <c r="C20" s="5">
        <v>0</v>
      </c>
      <c r="D20" s="5">
        <v>0.1</v>
      </c>
      <c r="E20" s="5">
        <v>0.3</v>
      </c>
      <c r="F20" s="5">
        <v>1</v>
      </c>
      <c r="O20" s="17" t="e">
        <f ca="1">B$37</f>
        <v>#NAME?</v>
      </c>
      <c r="P20" s="17">
        <f>C$37</f>
        <v>0.11</v>
      </c>
    </row>
    <row r="21" spans="1:35" x14ac:dyDescent="0.2">
      <c r="A21" s="1" t="s">
        <v>4</v>
      </c>
      <c r="B21" s="5">
        <v>0</v>
      </c>
      <c r="C21" s="5">
        <v>0</v>
      </c>
      <c r="D21" s="5">
        <v>0.1</v>
      </c>
      <c r="E21" s="5">
        <v>0.3</v>
      </c>
      <c r="F21" s="5">
        <v>1</v>
      </c>
      <c r="O21" s="16"/>
      <c r="P21" s="16"/>
    </row>
    <row r="22" spans="1:35" x14ac:dyDescent="0.2">
      <c r="A22" s="1" t="s">
        <v>5</v>
      </c>
      <c r="B22" s="5">
        <v>0</v>
      </c>
      <c r="C22" s="5">
        <v>0</v>
      </c>
      <c r="D22" s="5">
        <v>0</v>
      </c>
      <c r="E22" s="5">
        <v>0</v>
      </c>
      <c r="F22" s="5">
        <v>1</v>
      </c>
      <c r="O22" s="17">
        <f>B$35</f>
        <v>0.09</v>
      </c>
      <c r="P22" s="17">
        <f>C$35</f>
        <v>0.11</v>
      </c>
    </row>
    <row r="23" spans="1:35" x14ac:dyDescent="0.2">
      <c r="A23" s="1" t="s">
        <v>6</v>
      </c>
      <c r="B23" s="5">
        <v>1</v>
      </c>
      <c r="C23" s="5">
        <v>1</v>
      </c>
      <c r="D23" s="5">
        <v>0.5</v>
      </c>
      <c r="E23" s="5">
        <v>0.9</v>
      </c>
      <c r="F23" s="5">
        <v>1</v>
      </c>
      <c r="O23" s="17" t="e">
        <f ca="1">B$38</f>
        <v>#NAME?</v>
      </c>
      <c r="P23" s="17" t="e">
        <f ca="1">C$38</f>
        <v>#NAME?</v>
      </c>
    </row>
    <row r="24" spans="1:35" ht="15" x14ac:dyDescent="0.25">
      <c r="A24" s="1" t="s">
        <v>7</v>
      </c>
      <c r="B24" s="5">
        <v>0</v>
      </c>
      <c r="C24" s="5">
        <v>1</v>
      </c>
      <c r="D24" s="5">
        <v>0.2</v>
      </c>
      <c r="E24" s="5">
        <v>0.3</v>
      </c>
      <c r="F24" s="5">
        <v>1</v>
      </c>
      <c r="O24"/>
      <c r="P24"/>
    </row>
    <row r="25" spans="1:35" ht="15" x14ac:dyDescent="0.25">
      <c r="A25" s="1" t="s">
        <v>8</v>
      </c>
      <c r="B25" s="5">
        <v>0</v>
      </c>
      <c r="C25" s="5">
        <v>1</v>
      </c>
      <c r="D25" s="5">
        <v>0.15</v>
      </c>
      <c r="E25" s="5">
        <v>0.1</v>
      </c>
      <c r="F25" s="5">
        <v>1</v>
      </c>
      <c r="O25"/>
      <c r="P25"/>
    </row>
    <row r="26" spans="1:35" ht="15" x14ac:dyDescent="0.25">
      <c r="A26" s="1" t="s">
        <v>9</v>
      </c>
      <c r="B26" s="5">
        <v>0</v>
      </c>
      <c r="C26" s="5">
        <v>0</v>
      </c>
      <c r="D26" s="5">
        <v>0.1</v>
      </c>
      <c r="E26" s="5">
        <v>0.4</v>
      </c>
      <c r="F26" s="5">
        <v>1</v>
      </c>
      <c r="O26"/>
      <c r="P26"/>
    </row>
    <row r="27" spans="1:35" ht="15" x14ac:dyDescent="0.25">
      <c r="B27" s="6"/>
      <c r="C27" s="6"/>
      <c r="D27" s="6"/>
      <c r="E27" s="6"/>
      <c r="O27"/>
      <c r="P27"/>
    </row>
    <row r="28" spans="1:35" x14ac:dyDescent="0.2">
      <c r="A28" s="1" t="s">
        <v>17</v>
      </c>
      <c r="B28" s="5">
        <v>0</v>
      </c>
      <c r="C28" s="5">
        <v>0</v>
      </c>
      <c r="D28" s="5">
        <v>0</v>
      </c>
      <c r="E28" s="5">
        <v>0</v>
      </c>
      <c r="F28" s="5">
        <v>1</v>
      </c>
      <c r="Q28" s="2" t="s">
        <v>19</v>
      </c>
      <c r="T28" s="7"/>
    </row>
    <row r="29" spans="1:35" x14ac:dyDescent="0.2">
      <c r="A29" s="1" t="s">
        <v>18</v>
      </c>
      <c r="B29" s="5">
        <v>0.75</v>
      </c>
      <c r="C29" s="5">
        <v>0.25</v>
      </c>
      <c r="D29" s="5">
        <v>100</v>
      </c>
      <c r="E29" s="5">
        <v>2</v>
      </c>
      <c r="F29" s="5">
        <v>1</v>
      </c>
      <c r="T29" s="3" t="s">
        <v>20</v>
      </c>
      <c r="U29" s="3" t="s">
        <v>21</v>
      </c>
    </row>
    <row r="30" spans="1:35" x14ac:dyDescent="0.2">
      <c r="F30" s="1" t="s">
        <v>29</v>
      </c>
      <c r="Q30" s="11" t="s">
        <v>22</v>
      </c>
      <c r="R30" s="11" t="s">
        <v>30</v>
      </c>
      <c r="S30" s="11" t="s">
        <v>31</v>
      </c>
      <c r="T30" s="11" t="s">
        <v>23</v>
      </c>
      <c r="U30" s="11" t="s">
        <v>23</v>
      </c>
    </row>
    <row r="31" spans="1:35" ht="15" x14ac:dyDescent="0.25">
      <c r="B31" s="1" t="s">
        <v>35</v>
      </c>
      <c r="C31" s="1" t="s">
        <v>22</v>
      </c>
      <c r="F31" s="9" t="s">
        <v>0</v>
      </c>
      <c r="G31" s="9" t="s">
        <v>1</v>
      </c>
      <c r="H31" s="9" t="s">
        <v>2</v>
      </c>
      <c r="I31" s="9" t="s">
        <v>3</v>
      </c>
      <c r="J31" s="9" t="s">
        <v>4</v>
      </c>
      <c r="K31" s="9" t="s">
        <v>5</v>
      </c>
      <c r="L31" s="9" t="s">
        <v>6</v>
      </c>
      <c r="M31" s="9" t="s">
        <v>7</v>
      </c>
      <c r="N31" s="9" t="s">
        <v>8</v>
      </c>
      <c r="O31" s="9" t="s">
        <v>9</v>
      </c>
      <c r="Q31" s="11"/>
      <c r="R31" s="11"/>
      <c r="S31" s="11"/>
      <c r="T31" s="11"/>
      <c r="U31" s="1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ht="15" x14ac:dyDescent="0.25">
      <c r="A32" s="1" t="s">
        <v>24</v>
      </c>
      <c r="B32" s="19" t="e">
        <f t="array" aca="1" ref="B32:C32" ca="1">xxxEfficientFrontier3($B$3:$K$12,$M$3:$M$12,$O$3:$O$12,$P$3:$P$12,$B$17:$F$26,$B$28:$F$28,$B$29:$F$29,"MIN_RISK")</f>
        <v>#NAME?</v>
      </c>
      <c r="C32" s="20" t="e">
        <f ca="1"/>
        <v>#NAME?</v>
      </c>
      <c r="F32" s="19" t="e">
        <f t="array" aca="1" ref="F32:O32" ca="1">xxxEfficientFrontier3($B$3:$K$12,$M$3:$M$12,$O$3:$O$12,$P$3:$P$12,$B$17:$F$26,$B$28:$F$28,$B$29:$F$29,"MIN_RISK",TRUE)</f>
        <v>#NAME?</v>
      </c>
      <c r="G32" s="21" t="e">
        <f ca="1"/>
        <v>#NAME?</v>
      </c>
      <c r="H32" s="21" t="e">
        <f ca="1"/>
        <v>#NAME?</v>
      </c>
      <c r="I32" s="21" t="e">
        <f ca="1"/>
        <v>#NAME?</v>
      </c>
      <c r="J32" s="21" t="e">
        <f ca="1"/>
        <v>#NAME?</v>
      </c>
      <c r="K32" s="21" t="e">
        <f ca="1"/>
        <v>#NAME?</v>
      </c>
      <c r="L32" s="21" t="e">
        <f ca="1"/>
        <v>#NAME?</v>
      </c>
      <c r="M32" s="21" t="e">
        <f ca="1"/>
        <v>#NAME?</v>
      </c>
      <c r="N32" s="21" t="e">
        <f ca="1"/>
        <v>#NAME?</v>
      </c>
      <c r="O32" s="20" t="e">
        <f ca="1"/>
        <v>#NAME?</v>
      </c>
      <c r="Q32" s="8" t="e">
        <f ca="1">MMULT($F32:$O32,$M$3:$M$12)-C32</f>
        <v>#NAME?</v>
      </c>
      <c r="R32" s="8" t="e">
        <f t="array" aca="1" ref="R32" ca="1">SQRT(MMULT($F32:$O32,MMULT($B$3:$K$12,TRANSPOSE($F32:$O32))))-B32</f>
        <v>#NAME?</v>
      </c>
      <c r="S32" s="8" t="e">
        <f ca="1">SUM(F32:O32)</f>
        <v>#NAME?</v>
      </c>
      <c r="T32" s="8" t="e">
        <f t="array" aca="1" ref="T32" ca="1">SUM(IF($F32:$O32&lt;TRANSPOSE($O$3:$O$12),ABS($F32:$O32-TRANSPOSE($O$3:$O$12)),"-"))+SUM(IF($F32:$O32&gt;TRANSPOSE($P$3:$P$12),ABS($F32:$O32-TRANSPOSE($P$3:$P$12)),"-"))</f>
        <v>#NAME?</v>
      </c>
      <c r="U32" s="8" t="e">
        <f t="array" aca="1" ref="U32" ca="1">SUM(IF(MMULT($F32:$O32,$B$17:$E$26)&lt;($B$28:$E$28),ABS(MMULT($F32:$O32,$B$17:$E$26)-$B$28:$E$28),"-"))+SUM(IF(MMULT($F32:$O32,$B$17:$E$26)&gt;($B$29:$E$29),(MMULT($F32:$O32,$B$17:$E$26)-$B$29:$E$29),"-"))</f>
        <v>#NAME?</v>
      </c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ht="15" x14ac:dyDescent="0.25">
      <c r="A33" s="1" t="s">
        <v>36</v>
      </c>
      <c r="B33" s="19" t="e">
        <f t="array" aca="1" ref="B33:C33" ca="1">xxxEfficientFrontier3($B$3:$K$12,$M$3:$M$12,$O$3:$O$12,$P$3:$P$12,$B$17:$F$26,$B$28:$F$28,$B$29:$F$29,"MAX_RETURN")</f>
        <v>#NAME?</v>
      </c>
      <c r="C33" s="20" t="e">
        <f ca="1"/>
        <v>#NAME?</v>
      </c>
      <c r="E33" s="14"/>
      <c r="F33" s="19" t="e">
        <f t="array" aca="1" ref="F33:O33" ca="1">xxxEfficientFrontier3($B$3:$K$12,$M$3:$M$12,$O$3:$O$12,$P$3:$P$12,$B$17:$F$26,$B$28:$F$28,$B$29:$F$29,"MAX_RETURN",TRUE)</f>
        <v>#NAME?</v>
      </c>
      <c r="G33" s="21" t="e">
        <f ca="1"/>
        <v>#NAME?</v>
      </c>
      <c r="H33" s="21" t="e">
        <f ca="1"/>
        <v>#NAME?</v>
      </c>
      <c r="I33" s="21" t="e">
        <f ca="1"/>
        <v>#NAME?</v>
      </c>
      <c r="J33" s="21" t="e">
        <f ca="1"/>
        <v>#NAME?</v>
      </c>
      <c r="K33" s="21" t="e">
        <f ca="1"/>
        <v>#NAME?</v>
      </c>
      <c r="L33" s="21" t="e">
        <f ca="1"/>
        <v>#NAME?</v>
      </c>
      <c r="M33" s="21" t="e">
        <f ca="1"/>
        <v>#NAME?</v>
      </c>
      <c r="N33" s="21" t="e">
        <f ca="1"/>
        <v>#NAME?</v>
      </c>
      <c r="O33" s="20" t="e">
        <f ca="1"/>
        <v>#NAME?</v>
      </c>
      <c r="Q33" s="8" t="e">
        <f t="shared" ref="Q33:Q34" ca="1" si="0">MMULT($F33:$O33,$M$3:$M$12)-C33</f>
        <v>#NAME?</v>
      </c>
      <c r="R33" s="8" t="e">
        <f t="array" aca="1" ref="R33" ca="1">SQRT(MMULT($F33:$O33,MMULT($B$3:$K$12,TRANSPOSE($F33:$O33))))-B33</f>
        <v>#NAME?</v>
      </c>
      <c r="S33" s="8" t="e">
        <f t="shared" ref="S33:S34" ca="1" si="1">SUM(F33:O33)</f>
        <v>#NAME?</v>
      </c>
      <c r="T33" s="8" t="e">
        <f t="array" aca="1" ref="T33" ca="1">SUM(IF($F33:$O33&lt;TRANSPOSE($O$3:$O$12),ABS($F33:$O33-TRANSPOSE($O$3:$O$12)),"-"))+SUM(IF($F33:$O33&gt;TRANSPOSE($P$3:$P$12),ABS($F33:$O33-TRANSPOSE($P$3:$P$12)),"-"))</f>
        <v>#NAME?</v>
      </c>
      <c r="U33" s="8" t="e">
        <f t="array" aca="1" ref="U33" ca="1">SUM(IF(MMULT($F33:$O33,$B$17:$E$26)&lt;($B$28:$E$28),ABS(MMULT($F33:$O33,$B$17:$E$26)-$B$28:$E$28),"-"))+SUM(IF(MMULT($F33:$O33,$B$17:$E$26)&gt;($B$29:$E$29),(MMULT($F33:$O33,$B$17:$E$26)-$B$29:$E$29),"-"))</f>
        <v>#NAME?</v>
      </c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ht="15" x14ac:dyDescent="0.25">
      <c r="A34" s="1" t="s">
        <v>25</v>
      </c>
      <c r="B34" s="19" t="e">
        <f t="array" aca="1" ref="B34:C34" ca="1">xxxEfficientFrontier3($B$3:$K$12,$M$3:$M$12,$O$3:$O$12,$P$3:$P$12,$B$17:$F$26,$B$28:$F$28,$B$29:$F$29,"MAX_SHARPE",,,$E$34)</f>
        <v>#NAME?</v>
      </c>
      <c r="C34" s="20" t="e">
        <f ca="1"/>
        <v>#NAME?</v>
      </c>
      <c r="D34" s="12" t="s">
        <v>32</v>
      </c>
      <c r="E34" s="14">
        <v>7.9345407386023137E-2</v>
      </c>
      <c r="F34" s="19" t="e">
        <f t="array" aca="1" ref="F34:O34" ca="1">xxxEfficientFrontier3($B$3:$K$12,$M$3:$M$12,$O$3:$O$12,$P$3:$P$12,$B$17:$F$26,$B$28:$F$28,$B$29:$F$29,"MAX_SHARPE",TRUE,,$E$34)</f>
        <v>#NAME?</v>
      </c>
      <c r="G34" s="21" t="e">
        <f ca="1"/>
        <v>#NAME?</v>
      </c>
      <c r="H34" s="21" t="e">
        <f ca="1"/>
        <v>#NAME?</v>
      </c>
      <c r="I34" s="21" t="e">
        <f ca="1"/>
        <v>#NAME?</v>
      </c>
      <c r="J34" s="21" t="e">
        <f ca="1"/>
        <v>#NAME?</v>
      </c>
      <c r="K34" s="21" t="e">
        <f ca="1"/>
        <v>#NAME?</v>
      </c>
      <c r="L34" s="21" t="e">
        <f ca="1"/>
        <v>#NAME?</v>
      </c>
      <c r="M34" s="21" t="e">
        <f ca="1"/>
        <v>#NAME?</v>
      </c>
      <c r="N34" s="21" t="e">
        <f ca="1"/>
        <v>#NAME?</v>
      </c>
      <c r="O34" s="20" t="e">
        <f ca="1"/>
        <v>#NAME?</v>
      </c>
      <c r="Q34" s="8" t="e">
        <f t="shared" ca="1" si="0"/>
        <v>#NAME?</v>
      </c>
      <c r="R34" s="8" t="e">
        <f t="array" aca="1" ref="R34" ca="1">SQRT(MMULT($F34:$O34,MMULT($B$3:$K$12,TRANSPOSE($F34:$O34))))-B34</f>
        <v>#NAME?</v>
      </c>
      <c r="S34" s="8" t="e">
        <f t="shared" ca="1" si="1"/>
        <v>#NAME?</v>
      </c>
      <c r="T34" s="8" t="e">
        <f t="array" aca="1" ref="T34" ca="1">SUM(IF($F34:$O34&lt;TRANSPOSE($O$3:$O$12),ABS($F34:$O34-TRANSPOSE($O$3:$O$12)),"-"))+SUM(IF($F34:$O34&gt;TRANSPOSE($P$3:$P$12),ABS($F34:$O34-TRANSPOSE($P$3:$P$12)),"-"))</f>
        <v>#NAME?</v>
      </c>
      <c r="U34" s="8" t="e">
        <f t="array" aca="1" ref="U34" ca="1">SUM(IF(MMULT($F34:$O34,$B$17:$E$26)&lt;($B$28:$E$28),ABS(MMULT($F34:$O34,$B$17:$E$26)-$B$28:$E$28),"-"))+SUM(IF(MMULT($F34:$O34,$B$17:$E$26)&gt;($B$29:$E$29),(MMULT($F34:$O34,$B$17:$E$26)-$B$29:$E$29),"-"))</f>
        <v>#NAME?</v>
      </c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ht="15" x14ac:dyDescent="0.25">
      <c r="A35" s="1" t="s">
        <v>34</v>
      </c>
      <c r="B35" s="14">
        <v>0.09</v>
      </c>
      <c r="C35" s="14">
        <v>0.11</v>
      </c>
      <c r="F35" s="13"/>
      <c r="G35" s="13"/>
      <c r="H35" s="13"/>
      <c r="I35" s="13"/>
      <c r="J35" s="13"/>
      <c r="K35" s="13"/>
      <c r="L35" s="13"/>
      <c r="M35" s="13"/>
      <c r="N35" s="13"/>
      <c r="O35" s="13"/>
      <c r="Q35" s="8"/>
      <c r="R35" s="8"/>
      <c r="S35" s="8"/>
      <c r="T35" s="8"/>
      <c r="U35" s="8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ht="15" x14ac:dyDescent="0.25">
      <c r="A36" s="1" t="s">
        <v>44</v>
      </c>
      <c r="B36" s="15">
        <f>B35</f>
        <v>0.09</v>
      </c>
      <c r="C36" s="22" t="e">
        <f ca="1">xxxEfficientFrontier3($B$3:$K$12,$M$3:$M$12,$O$3:$O$12,$P$3:$P$12,$B$17:$F$26,$B$28:$F$28,$B$29:$F$29,"TGT_VOL",,,,$B36)</f>
        <v>#NAME?</v>
      </c>
      <c r="F36" s="19" t="e">
        <f t="array" aca="1" ref="F36:O36" ca="1">xxxEfficientFrontier3($B$3:$K$12,$M$3:$M$12,$O$3:$O$12,$P$3:$P$12,$B$17:$F$26,$B$28:$F$28,$B$29:$F$29,"TGT_VOL",TRUE,,,$B36)</f>
        <v>#NAME?</v>
      </c>
      <c r="G36" s="21" t="e">
        <f ca="1"/>
        <v>#NAME?</v>
      </c>
      <c r="H36" s="21" t="e">
        <f ca="1"/>
        <v>#NAME?</v>
      </c>
      <c r="I36" s="21" t="e">
        <f ca="1"/>
        <v>#NAME?</v>
      </c>
      <c r="J36" s="21" t="e">
        <f ca="1"/>
        <v>#NAME?</v>
      </c>
      <c r="K36" s="21" t="e">
        <f ca="1"/>
        <v>#NAME?</v>
      </c>
      <c r="L36" s="21" t="e">
        <f ca="1"/>
        <v>#NAME?</v>
      </c>
      <c r="M36" s="21" t="e">
        <f ca="1"/>
        <v>#NAME?</v>
      </c>
      <c r="N36" s="21" t="e">
        <f ca="1"/>
        <v>#NAME?</v>
      </c>
      <c r="O36" s="20" t="e">
        <f ca="1"/>
        <v>#NAME?</v>
      </c>
      <c r="Q36" s="8" t="e">
        <f t="shared" ref="Q36:Q38" ca="1" si="2">MMULT($F36:$O36,$M$3:$M$12)-C36</f>
        <v>#NAME?</v>
      </c>
      <c r="R36" s="8" t="e">
        <f t="array" aca="1" ref="R36" ca="1">SQRT(MMULT($F36:$O36,MMULT($B$3:$K$12,TRANSPOSE($F36:$O36))))-B36</f>
        <v>#NAME?</v>
      </c>
      <c r="S36" s="8" t="e">
        <f t="shared" ref="S36:S38" ca="1" si="3">SUM(F36:O36)</f>
        <v>#NAME?</v>
      </c>
      <c r="T36" s="8" t="e">
        <f t="array" aca="1" ref="T36" ca="1">SUM(IF($F36:$O36&lt;TRANSPOSE($O$3:$O$12),ABS($F36:$O36-TRANSPOSE($O$3:$O$12)),"-"))+SUM(IF($F36:$O36&gt;TRANSPOSE($P$3:$P$12),ABS($F36:$O36-TRANSPOSE($P$3:$P$12)),"-"))</f>
        <v>#NAME?</v>
      </c>
      <c r="U36" s="8" t="e">
        <f t="array" aca="1" ref="U36" ca="1">SUM(IF(MMULT($F36:$O36,$B$17:$E$26)&lt;($B$28:$E$28),ABS(MMULT($F36:$O36,$B$17:$E$26)-$B$28:$E$28),"-"))+SUM(IF(MMULT($F36:$O36,$B$17:$E$26)&gt;($B$29:$E$29),(MMULT($F36:$O36,$B$17:$E$26)-$B$29:$E$29),"-"))</f>
        <v>#NAME?</v>
      </c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ht="15" x14ac:dyDescent="0.25">
      <c r="A37" s="1" t="s">
        <v>45</v>
      </c>
      <c r="B37" s="22" t="e">
        <f ca="1">xxxEfficientFrontier3($B$3:$K$12,$M$3:$M$12,$O$3:$O$12,$P$3:$P$12,$B$17:$F$26,$B$28:$F$28,$B$29:$F$29,"TGT_RETURN",,,$C37)</f>
        <v>#NAME?</v>
      </c>
      <c r="C37" s="23">
        <f>C35</f>
        <v>0.11</v>
      </c>
      <c r="F37" s="19" t="e">
        <f t="array" aca="1" ref="F37:O37" ca="1">xxxEfficientFrontier3($B$3:$K$12,$M$3:$M$12,$O$3:$O$12,$P$3:$P$12,$B$17:$F$26,$B$28:$F$28,$B$29:$F$29,"TGT_RETURN",TRUE,,$C37)</f>
        <v>#NAME?</v>
      </c>
      <c r="G37" s="21" t="e">
        <f ca="1"/>
        <v>#NAME?</v>
      </c>
      <c r="H37" s="21" t="e">
        <f ca="1"/>
        <v>#NAME?</v>
      </c>
      <c r="I37" s="21" t="e">
        <f ca="1"/>
        <v>#NAME?</v>
      </c>
      <c r="J37" s="21" t="e">
        <f ca="1"/>
        <v>#NAME?</v>
      </c>
      <c r="K37" s="21" t="e">
        <f ca="1"/>
        <v>#NAME?</v>
      </c>
      <c r="L37" s="21" t="e">
        <f ca="1"/>
        <v>#NAME?</v>
      </c>
      <c r="M37" s="21" t="e">
        <f ca="1"/>
        <v>#NAME?</v>
      </c>
      <c r="N37" s="21" t="e">
        <f ca="1"/>
        <v>#NAME?</v>
      </c>
      <c r="O37" s="20" t="e">
        <f ca="1"/>
        <v>#NAME?</v>
      </c>
      <c r="Q37" s="8" t="e">
        <f t="shared" ca="1" si="2"/>
        <v>#NAME?</v>
      </c>
      <c r="R37" s="8" t="e">
        <f t="array" aca="1" ref="R37" ca="1">SQRT(MMULT($F37:$O37,MMULT($B$3:$K$12,TRANSPOSE($F37:$O37))))-B37</f>
        <v>#NAME?</v>
      </c>
      <c r="S37" s="8" t="e">
        <f t="shared" ca="1" si="3"/>
        <v>#NAME?</v>
      </c>
      <c r="T37" s="8" t="e">
        <f t="array" aca="1" ref="T37" ca="1">SUM(IF($F37:$O37&lt;TRANSPOSE($O$3:$O$12),ABS($F37:$O37-TRANSPOSE($O$3:$O$12)),"-"))+SUM(IF($F37:$O37&gt;TRANSPOSE($P$3:$P$12),ABS($F37:$O37-TRANSPOSE($P$3:$P$12)),"-"))</f>
        <v>#NAME?</v>
      </c>
      <c r="U37" s="8" t="e">
        <f t="array" aca="1" ref="U37" ca="1">SUM(IF(MMULT($F37:$O37,$B$17:$E$26)&lt;($B$28:$E$28),ABS(MMULT($F37:$O37,$B$17:$E$26)-$B$28:$E$28),"-"))+SUM(IF(MMULT($F37:$O37,$B$17:$E$26)&gt;($B$29:$E$29),(MMULT($F37:$O37,$B$17:$E$26)-$B$29:$E$29),"-"))</f>
        <v>#NAME?</v>
      </c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ht="15" x14ac:dyDescent="0.25">
      <c r="A38" s="1" t="s">
        <v>37</v>
      </c>
      <c r="B38" s="19" t="e">
        <f t="array" aca="1" ref="B38:C38" ca="1">xxxEfficientFrontier3($B$3:$K$12,$M$3:$M$12,$O$3:$O$12,$P$3:$P$12,$B$17:$F$26,$B$28:$F$28,$B$29:$F$29,"BMK_PROJ",,,C$35,B$35,$E$38)</f>
        <v>#NAME?</v>
      </c>
      <c r="C38" s="20" t="e">
        <f ca="1"/>
        <v>#NAME?</v>
      </c>
      <c r="D38" s="1" t="s">
        <v>38</v>
      </c>
      <c r="E38" s="18">
        <v>0.5</v>
      </c>
      <c r="F38" s="19" t="e">
        <f t="array" aca="1" ref="F38:O38" ca="1">xxxEfficientFrontier3($B$3:$K$12,$M$3:$M$12,$O$3:$O$12,$P$3:$P$12,$B$17:$F$26,$B$28:$F$28,$B$29:$F$29,"BMK_PROJ",TRUE,,$C$35,$B$35,$E$38)</f>
        <v>#NAME?</v>
      </c>
      <c r="G38" s="21" t="e">
        <f ca="1"/>
        <v>#NAME?</v>
      </c>
      <c r="H38" s="21" t="e">
        <f ca="1"/>
        <v>#NAME?</v>
      </c>
      <c r="I38" s="21" t="e">
        <f ca="1"/>
        <v>#NAME?</v>
      </c>
      <c r="J38" s="21" t="e">
        <f ca="1"/>
        <v>#NAME?</v>
      </c>
      <c r="K38" s="21" t="e">
        <f ca="1"/>
        <v>#NAME?</v>
      </c>
      <c r="L38" s="21" t="e">
        <f ca="1"/>
        <v>#NAME?</v>
      </c>
      <c r="M38" s="21" t="e">
        <f ca="1"/>
        <v>#NAME?</v>
      </c>
      <c r="N38" s="21" t="e">
        <f ca="1"/>
        <v>#NAME?</v>
      </c>
      <c r="O38" s="20" t="e">
        <f ca="1"/>
        <v>#NAME?</v>
      </c>
      <c r="Q38" s="8" t="e">
        <f t="shared" ca="1" si="2"/>
        <v>#NAME?</v>
      </c>
      <c r="R38" s="8" t="e">
        <f t="array" aca="1" ref="R38" ca="1">SQRT(MMULT($F38:$O38,MMULT($B$3:$K$12,TRANSPOSE($F38:$O38))))-B38</f>
        <v>#NAME?</v>
      </c>
      <c r="S38" s="8" t="e">
        <f t="shared" ca="1" si="3"/>
        <v>#NAME?</v>
      </c>
      <c r="T38" s="8" t="e">
        <f t="array" aca="1" ref="T38" ca="1">SUM(IF($F38:$O38&lt;TRANSPOSE($O$3:$O$12),ABS($F38:$O38-TRANSPOSE($O$3:$O$12)),"-"))+SUM(IF($F38:$O38&gt;TRANSPOSE($P$3:$P$12),ABS($F38:$O38-TRANSPOSE($P$3:$P$12)),"-"))</f>
        <v>#NAME?</v>
      </c>
      <c r="U38" s="8" t="e">
        <f t="array" aca="1" ref="U38" ca="1">SUM(IF(MMULT($F38:$O38,$B$17:$E$26)&lt;($B$28:$E$28),ABS(MMULT($F38:$O38,$B$17:$E$26)-$B$28:$E$28),"-"))+SUM(IF(MMULT($F38:$O38,$B$17:$E$26)&gt;($B$29:$E$29),(MMULT($F38:$O38,$B$17:$E$26)-$B$29:$E$29),"-"))</f>
        <v>#NAME?</v>
      </c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ht="15" x14ac:dyDescent="0.25">
      <c r="A40" s="1" t="s">
        <v>33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ht="15" x14ac:dyDescent="0.25">
      <c r="B41" s="24" t="e">
        <f t="array" aca="1" ref="B41:C90" ca="1">xxxEfficientFrontier3($B$3:$K$12,$M$3:$M$12,$O$3:$O$12,$P$3:$P$12,$B$17:$F$26,$B$28:$F$28,$B$29:$F$29,"CURVE",,,,,,50)</f>
        <v>#NAME?</v>
      </c>
      <c r="C41" s="25" t="e">
        <f ca="1"/>
        <v>#NAME?</v>
      </c>
      <c r="D41" s="24" t="e">
        <f t="array" aca="1" ref="D41:E90" ca="1">xxxEfficientFrontier3($B$3:$K$12,$M$3:$M$12,$O$3:$O$12,$P$3:$P$12,$B$17:$F$26,$B$28:$F$28,$B$29:$F$29,"CURVE_SHADOW",,,,,,50)</f>
        <v>#NAME?</v>
      </c>
      <c r="E41" s="25" t="e">
        <f ca="1"/>
        <v>#NAME?</v>
      </c>
      <c r="F41" s="24" t="e">
        <f t="array" aca="1" ref="F41:O90" ca="1">xxxEfficientFrontier3($B$3:$K$12,$M$3:$M$12,$O$3:$O$12,$P$3:$P$12,$B$17:$F$26,$B$28:$F$28,$B$29:$F$29,"CURVE",TRUE,,,,,50)</f>
        <v>#NAME?</v>
      </c>
      <c r="G41" s="28" t="e">
        <f ca="1"/>
        <v>#NAME?</v>
      </c>
      <c r="H41" s="28" t="e">
        <f ca="1"/>
        <v>#NAME?</v>
      </c>
      <c r="I41" s="28" t="e">
        <f ca="1"/>
        <v>#NAME?</v>
      </c>
      <c r="J41" s="28" t="e">
        <f ca="1"/>
        <v>#NAME?</v>
      </c>
      <c r="K41" s="28" t="e">
        <f ca="1"/>
        <v>#NAME?</v>
      </c>
      <c r="L41" s="28" t="e">
        <f ca="1"/>
        <v>#NAME?</v>
      </c>
      <c r="M41" s="28" t="e">
        <f ca="1"/>
        <v>#NAME?</v>
      </c>
      <c r="N41" s="28" t="e">
        <f ca="1"/>
        <v>#NAME?</v>
      </c>
      <c r="O41" s="25" t="e">
        <f ca="1"/>
        <v>#NAME?</v>
      </c>
      <c r="Q41" s="8" t="e">
        <f t="shared" ref="Q41:Q90" ca="1" si="4">MMULT($F41:$O41,$M$3:$M$12)-C41</f>
        <v>#NAME?</v>
      </c>
      <c r="R41" s="8" t="e">
        <f t="array" aca="1" ref="R41" ca="1">SQRT(MMULT($F41:$O41,MMULT($B$3:$K$12,TRANSPOSE($F41:$O41))))-B41</f>
        <v>#NAME?</v>
      </c>
      <c r="S41" s="8" t="e">
        <f t="shared" ref="S41:S90" ca="1" si="5">SUM(F41:O41)</f>
        <v>#NAME?</v>
      </c>
      <c r="T41" s="8" t="e">
        <f t="array" aca="1" ref="T41" ca="1">SUM(IF($F41:$O41&lt;TRANSPOSE($O$3:$O$12),ABS($F41:$O41-TRANSPOSE($O$3:$O$12)),"-"))+SUM(IF($F41:$O41&gt;TRANSPOSE($P$3:$P$12),ABS($F41:$O41-TRANSPOSE($P$3:$P$12)),"-"))</f>
        <v>#NAME?</v>
      </c>
      <c r="U41" s="8" t="e">
        <f t="array" aca="1" ref="U41" ca="1">SUM(IF(MMULT($F41:$O41,$B$17:$E$26)&lt;($B$28:$E$28),ABS(MMULT($F41:$O41,$B$17:$E$26)-$B$28:$E$28),"-"))+SUM(IF(MMULT($F41:$O41,$B$17:$E$26)&gt;($B$29:$E$29),(MMULT($F41:$O41,$B$17:$E$26)-$B$29:$E$29),"-"))</f>
        <v>#NAME?</v>
      </c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ht="15" x14ac:dyDescent="0.25">
      <c r="B42" s="26" t="e">
        <f ca="1"/>
        <v>#NAME?</v>
      </c>
      <c r="C42" s="27" t="e">
        <f ca="1"/>
        <v>#NAME?</v>
      </c>
      <c r="D42" s="26" t="e">
        <f ca="1"/>
        <v>#NAME?</v>
      </c>
      <c r="E42" s="27" t="e">
        <f ca="1"/>
        <v>#NAME?</v>
      </c>
      <c r="F42" s="26" t="e">
        <f ca="1"/>
        <v>#NAME?</v>
      </c>
      <c r="G42" s="29" t="e">
        <f ca="1"/>
        <v>#NAME?</v>
      </c>
      <c r="H42" s="29" t="e">
        <f ca="1"/>
        <v>#NAME?</v>
      </c>
      <c r="I42" s="29" t="e">
        <f ca="1"/>
        <v>#NAME?</v>
      </c>
      <c r="J42" s="29" t="e">
        <f ca="1"/>
        <v>#NAME?</v>
      </c>
      <c r="K42" s="29" t="e">
        <f ca="1"/>
        <v>#NAME?</v>
      </c>
      <c r="L42" s="29" t="e">
        <f ca="1"/>
        <v>#NAME?</v>
      </c>
      <c r="M42" s="29" t="e">
        <f ca="1"/>
        <v>#NAME?</v>
      </c>
      <c r="N42" s="29" t="e">
        <f ca="1"/>
        <v>#NAME?</v>
      </c>
      <c r="O42" s="27" t="e">
        <f ca="1"/>
        <v>#NAME?</v>
      </c>
      <c r="Q42" s="8" t="e">
        <f t="shared" ca="1" si="4"/>
        <v>#NAME?</v>
      </c>
      <c r="R42" s="8" t="e">
        <f t="array" aca="1" ref="R42" ca="1">SQRT(MMULT($F42:$O42,MMULT($B$3:$K$12,TRANSPOSE($F42:$O42))))-B42</f>
        <v>#NAME?</v>
      </c>
      <c r="S42" s="8" t="e">
        <f t="shared" ca="1" si="5"/>
        <v>#NAME?</v>
      </c>
      <c r="T42" s="8" t="e">
        <f t="array" aca="1" ref="T42" ca="1">SUM(IF($F42:$O42&lt;TRANSPOSE($O$3:$O$12),ABS($F42:$O42-TRANSPOSE($O$3:$O$12)),"-"))+SUM(IF($F42:$O42&gt;TRANSPOSE($P$3:$P$12),ABS($F42:$O42-TRANSPOSE($P$3:$P$12)),"-"))</f>
        <v>#NAME?</v>
      </c>
      <c r="U42" s="8" t="e">
        <f t="array" aca="1" ref="U42" ca="1">SUM(IF(MMULT($F42:$O42,$B$17:$E$26)&lt;($B$28:$E$28),ABS(MMULT($F42:$O42,$B$17:$E$26)-$B$28:$E$28),"-"))+SUM(IF(MMULT($F42:$O42,$B$17:$E$26)&gt;($B$29:$E$29),(MMULT($F42:$O42,$B$17:$E$26)-$B$29:$E$29),"-"))</f>
        <v>#NAME?</v>
      </c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ht="15" x14ac:dyDescent="0.25">
      <c r="B43" s="26" t="e">
        <f ca="1"/>
        <v>#NAME?</v>
      </c>
      <c r="C43" s="27" t="e">
        <f ca="1"/>
        <v>#NAME?</v>
      </c>
      <c r="D43" s="26" t="e">
        <f ca="1"/>
        <v>#NAME?</v>
      </c>
      <c r="E43" s="27" t="e">
        <f ca="1"/>
        <v>#NAME?</v>
      </c>
      <c r="F43" s="26" t="e">
        <f ca="1"/>
        <v>#NAME?</v>
      </c>
      <c r="G43" s="29" t="e">
        <f ca="1"/>
        <v>#NAME?</v>
      </c>
      <c r="H43" s="29" t="e">
        <f ca="1"/>
        <v>#NAME?</v>
      </c>
      <c r="I43" s="29" t="e">
        <f ca="1"/>
        <v>#NAME?</v>
      </c>
      <c r="J43" s="29" t="e">
        <f ca="1"/>
        <v>#NAME?</v>
      </c>
      <c r="K43" s="29" t="e">
        <f ca="1"/>
        <v>#NAME?</v>
      </c>
      <c r="L43" s="29" t="e">
        <f ca="1"/>
        <v>#NAME?</v>
      </c>
      <c r="M43" s="29" t="e">
        <f ca="1"/>
        <v>#NAME?</v>
      </c>
      <c r="N43" s="29" t="e">
        <f ca="1"/>
        <v>#NAME?</v>
      </c>
      <c r="O43" s="27" t="e">
        <f ca="1"/>
        <v>#NAME?</v>
      </c>
      <c r="Q43" s="8" t="e">
        <f t="shared" ca="1" si="4"/>
        <v>#NAME?</v>
      </c>
      <c r="R43" s="8" t="e">
        <f t="array" aca="1" ref="R43" ca="1">SQRT(MMULT($F43:$O43,MMULT($B$3:$K$12,TRANSPOSE($F43:$O43))))-B43</f>
        <v>#NAME?</v>
      </c>
      <c r="S43" s="8" t="e">
        <f t="shared" ca="1" si="5"/>
        <v>#NAME?</v>
      </c>
      <c r="T43" s="8" t="e">
        <f t="array" aca="1" ref="T43" ca="1">SUM(IF($F43:$O43&lt;TRANSPOSE($O$3:$O$12),ABS($F43:$O43-TRANSPOSE($O$3:$O$12)),"-"))+SUM(IF($F43:$O43&gt;TRANSPOSE($P$3:$P$12),ABS($F43:$O43-TRANSPOSE($P$3:$P$12)),"-"))</f>
        <v>#NAME?</v>
      </c>
      <c r="U43" s="8" t="e">
        <f t="array" aca="1" ref="U43" ca="1">SUM(IF(MMULT($F43:$O43,$B$17:$E$26)&lt;($B$28:$E$28),ABS(MMULT($F43:$O43,$B$17:$E$26)-$B$28:$E$28),"-"))+SUM(IF(MMULT($F43:$O43,$B$17:$E$26)&gt;($B$29:$E$29),(MMULT($F43:$O43,$B$17:$E$26)-$B$29:$E$29),"-"))</f>
        <v>#NAME?</v>
      </c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ht="15" x14ac:dyDescent="0.25">
      <c r="B44" s="26" t="e">
        <f ca="1"/>
        <v>#NAME?</v>
      </c>
      <c r="C44" s="27" t="e">
        <f ca="1"/>
        <v>#NAME?</v>
      </c>
      <c r="D44" s="26" t="e">
        <f ca="1"/>
        <v>#NAME?</v>
      </c>
      <c r="E44" s="27" t="e">
        <f ca="1"/>
        <v>#NAME?</v>
      </c>
      <c r="F44" s="26" t="e">
        <f ca="1"/>
        <v>#NAME?</v>
      </c>
      <c r="G44" s="29" t="e">
        <f ca="1"/>
        <v>#NAME?</v>
      </c>
      <c r="H44" s="29" t="e">
        <f ca="1"/>
        <v>#NAME?</v>
      </c>
      <c r="I44" s="29" t="e">
        <f ca="1"/>
        <v>#NAME?</v>
      </c>
      <c r="J44" s="29" t="e">
        <f ca="1"/>
        <v>#NAME?</v>
      </c>
      <c r="K44" s="29" t="e">
        <f ca="1"/>
        <v>#NAME?</v>
      </c>
      <c r="L44" s="29" t="e">
        <f ca="1"/>
        <v>#NAME?</v>
      </c>
      <c r="M44" s="29" t="e">
        <f ca="1"/>
        <v>#NAME?</v>
      </c>
      <c r="N44" s="29" t="e">
        <f ca="1"/>
        <v>#NAME?</v>
      </c>
      <c r="O44" s="27" t="e">
        <f ca="1"/>
        <v>#NAME?</v>
      </c>
      <c r="Q44" s="8" t="e">
        <f t="shared" ca="1" si="4"/>
        <v>#NAME?</v>
      </c>
      <c r="R44" s="8" t="e">
        <f t="array" aca="1" ref="R44" ca="1">SQRT(MMULT($F44:$O44,MMULT($B$3:$K$12,TRANSPOSE($F44:$O44))))-B44</f>
        <v>#NAME?</v>
      </c>
      <c r="S44" s="8" t="e">
        <f t="shared" ca="1" si="5"/>
        <v>#NAME?</v>
      </c>
      <c r="T44" s="8" t="e">
        <f t="array" aca="1" ref="T44" ca="1">SUM(IF($F44:$O44&lt;TRANSPOSE($O$3:$O$12),ABS($F44:$O44-TRANSPOSE($O$3:$O$12)),"-"))+SUM(IF($F44:$O44&gt;TRANSPOSE($P$3:$P$12),ABS($F44:$O44-TRANSPOSE($P$3:$P$12)),"-"))</f>
        <v>#NAME?</v>
      </c>
      <c r="U44" s="8" t="e">
        <f t="array" aca="1" ref="U44" ca="1">SUM(IF(MMULT($F44:$O44,$B$17:$E$26)&lt;($B$28:$E$28),ABS(MMULT($F44:$O44,$B$17:$E$26)-$B$28:$E$28),"-"))+SUM(IF(MMULT($F44:$O44,$B$17:$E$26)&gt;($B$29:$E$29),(MMULT($F44:$O44,$B$17:$E$26)-$B$29:$E$29),"-"))</f>
        <v>#NAME?</v>
      </c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ht="15" x14ac:dyDescent="0.25">
      <c r="B45" s="26" t="e">
        <f ca="1"/>
        <v>#NAME?</v>
      </c>
      <c r="C45" s="27" t="e">
        <f ca="1"/>
        <v>#NAME?</v>
      </c>
      <c r="D45" s="26" t="e">
        <f ca="1"/>
        <v>#NAME?</v>
      </c>
      <c r="E45" s="27" t="e">
        <f ca="1"/>
        <v>#NAME?</v>
      </c>
      <c r="F45" s="26" t="e">
        <f ca="1"/>
        <v>#NAME?</v>
      </c>
      <c r="G45" s="29" t="e">
        <f ca="1"/>
        <v>#NAME?</v>
      </c>
      <c r="H45" s="29" t="e">
        <f ca="1"/>
        <v>#NAME?</v>
      </c>
      <c r="I45" s="29" t="e">
        <f ca="1"/>
        <v>#NAME?</v>
      </c>
      <c r="J45" s="29" t="e">
        <f ca="1"/>
        <v>#NAME?</v>
      </c>
      <c r="K45" s="29" t="e">
        <f ca="1"/>
        <v>#NAME?</v>
      </c>
      <c r="L45" s="29" t="e">
        <f ca="1"/>
        <v>#NAME?</v>
      </c>
      <c r="M45" s="29" t="e">
        <f ca="1"/>
        <v>#NAME?</v>
      </c>
      <c r="N45" s="29" t="e">
        <f ca="1"/>
        <v>#NAME?</v>
      </c>
      <c r="O45" s="27" t="e">
        <f ca="1"/>
        <v>#NAME?</v>
      </c>
      <c r="Q45" s="8" t="e">
        <f t="shared" ca="1" si="4"/>
        <v>#NAME?</v>
      </c>
      <c r="R45" s="8" t="e">
        <f t="array" aca="1" ref="R45" ca="1">SQRT(MMULT($F45:$O45,MMULT($B$3:$K$12,TRANSPOSE($F45:$O45))))-B45</f>
        <v>#NAME?</v>
      </c>
      <c r="S45" s="8" t="e">
        <f t="shared" ca="1" si="5"/>
        <v>#NAME?</v>
      </c>
      <c r="T45" s="8" t="e">
        <f t="array" aca="1" ref="T45" ca="1">SUM(IF($F45:$O45&lt;TRANSPOSE($O$3:$O$12),ABS($F45:$O45-TRANSPOSE($O$3:$O$12)),"-"))+SUM(IF($F45:$O45&gt;TRANSPOSE($P$3:$P$12),ABS($F45:$O45-TRANSPOSE($P$3:$P$12)),"-"))</f>
        <v>#NAME?</v>
      </c>
      <c r="U45" s="8" t="e">
        <f t="array" aca="1" ref="U45" ca="1">SUM(IF(MMULT($F45:$O45,$B$17:$E$26)&lt;($B$28:$E$28),ABS(MMULT($F45:$O45,$B$17:$E$26)-$B$28:$E$28),"-"))+SUM(IF(MMULT($F45:$O45,$B$17:$E$26)&gt;($B$29:$E$29),(MMULT($F45:$O45,$B$17:$E$26)-$B$29:$E$29),"-"))</f>
        <v>#NAME?</v>
      </c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ht="15" x14ac:dyDescent="0.25">
      <c r="B46" s="26" t="e">
        <f ca="1"/>
        <v>#NAME?</v>
      </c>
      <c r="C46" s="27" t="e">
        <f ca="1"/>
        <v>#NAME?</v>
      </c>
      <c r="D46" s="26" t="e">
        <f ca="1"/>
        <v>#NAME?</v>
      </c>
      <c r="E46" s="27" t="e">
        <f ca="1"/>
        <v>#NAME?</v>
      </c>
      <c r="F46" s="26" t="e">
        <f ca="1"/>
        <v>#NAME?</v>
      </c>
      <c r="G46" s="29" t="e">
        <f ca="1"/>
        <v>#NAME?</v>
      </c>
      <c r="H46" s="29" t="e">
        <f ca="1"/>
        <v>#NAME?</v>
      </c>
      <c r="I46" s="29" t="e">
        <f ca="1"/>
        <v>#NAME?</v>
      </c>
      <c r="J46" s="29" t="e">
        <f ca="1"/>
        <v>#NAME?</v>
      </c>
      <c r="K46" s="29" t="e">
        <f ca="1"/>
        <v>#NAME?</v>
      </c>
      <c r="L46" s="29" t="e">
        <f ca="1"/>
        <v>#NAME?</v>
      </c>
      <c r="M46" s="29" t="e">
        <f ca="1"/>
        <v>#NAME?</v>
      </c>
      <c r="N46" s="29" t="e">
        <f ca="1"/>
        <v>#NAME?</v>
      </c>
      <c r="O46" s="27" t="e">
        <f ca="1"/>
        <v>#NAME?</v>
      </c>
      <c r="Q46" s="8" t="e">
        <f t="shared" ca="1" si="4"/>
        <v>#NAME?</v>
      </c>
      <c r="R46" s="8" t="e">
        <f t="array" aca="1" ref="R46" ca="1">SQRT(MMULT($F46:$O46,MMULT($B$3:$K$12,TRANSPOSE($F46:$O46))))-B46</f>
        <v>#NAME?</v>
      </c>
      <c r="S46" s="8" t="e">
        <f t="shared" ca="1" si="5"/>
        <v>#NAME?</v>
      </c>
      <c r="T46" s="8" t="e">
        <f t="array" aca="1" ref="T46" ca="1">SUM(IF($F46:$O46&lt;TRANSPOSE($O$3:$O$12),ABS($F46:$O46-TRANSPOSE($O$3:$O$12)),"-"))+SUM(IF($F46:$O46&gt;TRANSPOSE($P$3:$P$12),ABS($F46:$O46-TRANSPOSE($P$3:$P$12)),"-"))</f>
        <v>#NAME?</v>
      </c>
      <c r="U46" s="8" t="e">
        <f t="array" aca="1" ref="U46" ca="1">SUM(IF(MMULT($F46:$O46,$B$17:$E$26)&lt;($B$28:$E$28),ABS(MMULT($F46:$O46,$B$17:$E$26)-$B$28:$E$28),"-"))+SUM(IF(MMULT($F46:$O46,$B$17:$E$26)&gt;($B$29:$E$29),(MMULT($F46:$O46,$B$17:$E$26)-$B$29:$E$29),"-"))</f>
        <v>#NAME?</v>
      </c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ht="15" x14ac:dyDescent="0.25">
      <c r="B47" s="26" t="e">
        <f ca="1"/>
        <v>#NAME?</v>
      </c>
      <c r="C47" s="27" t="e">
        <f ca="1"/>
        <v>#NAME?</v>
      </c>
      <c r="D47" s="26" t="e">
        <f ca="1"/>
        <v>#NAME?</v>
      </c>
      <c r="E47" s="27" t="e">
        <f ca="1"/>
        <v>#NAME?</v>
      </c>
      <c r="F47" s="26" t="e">
        <f ca="1"/>
        <v>#NAME?</v>
      </c>
      <c r="G47" s="29" t="e">
        <f ca="1"/>
        <v>#NAME?</v>
      </c>
      <c r="H47" s="29" t="e">
        <f ca="1"/>
        <v>#NAME?</v>
      </c>
      <c r="I47" s="29" t="e">
        <f ca="1"/>
        <v>#NAME?</v>
      </c>
      <c r="J47" s="29" t="e">
        <f ca="1"/>
        <v>#NAME?</v>
      </c>
      <c r="K47" s="29" t="e">
        <f ca="1"/>
        <v>#NAME?</v>
      </c>
      <c r="L47" s="29" t="e">
        <f ca="1"/>
        <v>#NAME?</v>
      </c>
      <c r="M47" s="29" t="e">
        <f ca="1"/>
        <v>#NAME?</v>
      </c>
      <c r="N47" s="29" t="e">
        <f ca="1"/>
        <v>#NAME?</v>
      </c>
      <c r="O47" s="27" t="e">
        <f ca="1"/>
        <v>#NAME?</v>
      </c>
      <c r="Q47" s="8" t="e">
        <f t="shared" ca="1" si="4"/>
        <v>#NAME?</v>
      </c>
      <c r="R47" s="8" t="e">
        <f t="array" aca="1" ref="R47" ca="1">SQRT(MMULT($F47:$O47,MMULT($B$3:$K$12,TRANSPOSE($F47:$O47))))-B47</f>
        <v>#NAME?</v>
      </c>
      <c r="S47" s="8" t="e">
        <f t="shared" ca="1" si="5"/>
        <v>#NAME?</v>
      </c>
      <c r="T47" s="8" t="e">
        <f t="array" aca="1" ref="T47" ca="1">SUM(IF($F47:$O47&lt;TRANSPOSE($O$3:$O$12),ABS($F47:$O47-TRANSPOSE($O$3:$O$12)),"-"))+SUM(IF($F47:$O47&gt;TRANSPOSE($P$3:$P$12),ABS($F47:$O47-TRANSPOSE($P$3:$P$12)),"-"))</f>
        <v>#NAME?</v>
      </c>
      <c r="U47" s="8" t="e">
        <f t="array" aca="1" ref="U47" ca="1">SUM(IF(MMULT($F47:$O47,$B$17:$E$26)&lt;($B$28:$E$28),ABS(MMULT($F47:$O47,$B$17:$E$26)-$B$28:$E$28),"-"))+SUM(IF(MMULT($F47:$O47,$B$17:$E$26)&gt;($B$29:$E$29),(MMULT($F47:$O47,$B$17:$E$26)-$B$29:$E$29),"-"))</f>
        <v>#NAME?</v>
      </c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ht="15" x14ac:dyDescent="0.25">
      <c r="B48" s="26" t="e">
        <f ca="1"/>
        <v>#NAME?</v>
      </c>
      <c r="C48" s="27" t="e">
        <f ca="1"/>
        <v>#NAME?</v>
      </c>
      <c r="D48" s="26" t="e">
        <f ca="1"/>
        <v>#NAME?</v>
      </c>
      <c r="E48" s="27" t="e">
        <f ca="1"/>
        <v>#NAME?</v>
      </c>
      <c r="F48" s="26" t="e">
        <f ca="1"/>
        <v>#NAME?</v>
      </c>
      <c r="G48" s="29" t="e">
        <f ca="1"/>
        <v>#NAME?</v>
      </c>
      <c r="H48" s="29" t="e">
        <f ca="1"/>
        <v>#NAME?</v>
      </c>
      <c r="I48" s="29" t="e">
        <f ca="1"/>
        <v>#NAME?</v>
      </c>
      <c r="J48" s="29" t="e">
        <f ca="1"/>
        <v>#NAME?</v>
      </c>
      <c r="K48" s="29" t="e">
        <f ca="1"/>
        <v>#NAME?</v>
      </c>
      <c r="L48" s="29" t="e">
        <f ca="1"/>
        <v>#NAME?</v>
      </c>
      <c r="M48" s="29" t="e">
        <f ca="1"/>
        <v>#NAME?</v>
      </c>
      <c r="N48" s="29" t="e">
        <f ca="1"/>
        <v>#NAME?</v>
      </c>
      <c r="O48" s="27" t="e">
        <f ca="1"/>
        <v>#NAME?</v>
      </c>
      <c r="Q48" s="8" t="e">
        <f t="shared" ca="1" si="4"/>
        <v>#NAME?</v>
      </c>
      <c r="R48" s="8" t="e">
        <f t="array" aca="1" ref="R48" ca="1">SQRT(MMULT($F48:$O48,MMULT($B$3:$K$12,TRANSPOSE($F48:$O48))))-B48</f>
        <v>#NAME?</v>
      </c>
      <c r="S48" s="8" t="e">
        <f t="shared" ca="1" si="5"/>
        <v>#NAME?</v>
      </c>
      <c r="T48" s="8" t="e">
        <f t="array" aca="1" ref="T48" ca="1">SUM(IF($F48:$O48&lt;TRANSPOSE($O$3:$O$12),ABS($F48:$O48-TRANSPOSE($O$3:$O$12)),"-"))+SUM(IF($F48:$O48&gt;TRANSPOSE($P$3:$P$12),ABS($F48:$O48-TRANSPOSE($P$3:$P$12)),"-"))</f>
        <v>#NAME?</v>
      </c>
      <c r="U48" s="8" t="e">
        <f t="array" aca="1" ref="U48" ca="1">SUM(IF(MMULT($F48:$O48,$B$17:$E$26)&lt;($B$28:$E$28),ABS(MMULT($F48:$O48,$B$17:$E$26)-$B$28:$E$28),"-"))+SUM(IF(MMULT($F48:$O48,$B$17:$E$26)&gt;($B$29:$E$29),(MMULT($F48:$O48,$B$17:$E$26)-$B$29:$E$29),"-"))</f>
        <v>#NAME?</v>
      </c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2:35" ht="15" x14ac:dyDescent="0.25">
      <c r="B49" s="26" t="e">
        <f ca="1"/>
        <v>#NAME?</v>
      </c>
      <c r="C49" s="27" t="e">
        <f ca="1"/>
        <v>#NAME?</v>
      </c>
      <c r="D49" s="26" t="e">
        <f ca="1"/>
        <v>#NAME?</v>
      </c>
      <c r="E49" s="27" t="e">
        <f ca="1"/>
        <v>#NAME?</v>
      </c>
      <c r="F49" s="26" t="e">
        <f ca="1"/>
        <v>#NAME?</v>
      </c>
      <c r="G49" s="29" t="e">
        <f ca="1"/>
        <v>#NAME?</v>
      </c>
      <c r="H49" s="29" t="e">
        <f ca="1"/>
        <v>#NAME?</v>
      </c>
      <c r="I49" s="29" t="e">
        <f ca="1"/>
        <v>#NAME?</v>
      </c>
      <c r="J49" s="29" t="e">
        <f ca="1"/>
        <v>#NAME?</v>
      </c>
      <c r="K49" s="29" t="e">
        <f ca="1"/>
        <v>#NAME?</v>
      </c>
      <c r="L49" s="29" t="e">
        <f ca="1"/>
        <v>#NAME?</v>
      </c>
      <c r="M49" s="29" t="e">
        <f ca="1"/>
        <v>#NAME?</v>
      </c>
      <c r="N49" s="29" t="e">
        <f ca="1"/>
        <v>#NAME?</v>
      </c>
      <c r="O49" s="27" t="e">
        <f ca="1"/>
        <v>#NAME?</v>
      </c>
      <c r="Q49" s="8" t="e">
        <f t="shared" ca="1" si="4"/>
        <v>#NAME?</v>
      </c>
      <c r="R49" s="8" t="e">
        <f t="array" aca="1" ref="R49" ca="1">SQRT(MMULT($F49:$O49,MMULT($B$3:$K$12,TRANSPOSE($F49:$O49))))-B49</f>
        <v>#NAME?</v>
      </c>
      <c r="S49" s="8" t="e">
        <f t="shared" ca="1" si="5"/>
        <v>#NAME?</v>
      </c>
      <c r="T49" s="8" t="e">
        <f t="array" aca="1" ref="T49" ca="1">SUM(IF($F49:$O49&lt;TRANSPOSE($O$3:$O$12),ABS($F49:$O49-TRANSPOSE($O$3:$O$12)),"-"))+SUM(IF($F49:$O49&gt;TRANSPOSE($P$3:$P$12),ABS($F49:$O49-TRANSPOSE($P$3:$P$12)),"-"))</f>
        <v>#NAME?</v>
      </c>
      <c r="U49" s="8" t="e">
        <f t="array" aca="1" ref="U49" ca="1">SUM(IF(MMULT($F49:$O49,$B$17:$E$26)&lt;($B$28:$E$28),ABS(MMULT($F49:$O49,$B$17:$E$26)-$B$28:$E$28),"-"))+SUM(IF(MMULT($F49:$O49,$B$17:$E$26)&gt;($B$29:$E$29),(MMULT($F49:$O49,$B$17:$E$26)-$B$29:$E$29),"-"))</f>
        <v>#NAME?</v>
      </c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2:35" ht="15" x14ac:dyDescent="0.25">
      <c r="B50" s="26" t="e">
        <f ca="1"/>
        <v>#NAME?</v>
      </c>
      <c r="C50" s="27" t="e">
        <f ca="1"/>
        <v>#NAME?</v>
      </c>
      <c r="D50" s="26" t="e">
        <f ca="1"/>
        <v>#NAME?</v>
      </c>
      <c r="E50" s="27" t="e">
        <f ca="1"/>
        <v>#NAME?</v>
      </c>
      <c r="F50" s="26" t="e">
        <f ca="1"/>
        <v>#NAME?</v>
      </c>
      <c r="G50" s="29" t="e">
        <f ca="1"/>
        <v>#NAME?</v>
      </c>
      <c r="H50" s="29" t="e">
        <f ca="1"/>
        <v>#NAME?</v>
      </c>
      <c r="I50" s="29" t="e">
        <f ca="1"/>
        <v>#NAME?</v>
      </c>
      <c r="J50" s="29" t="e">
        <f ca="1"/>
        <v>#NAME?</v>
      </c>
      <c r="K50" s="29" t="e">
        <f ca="1"/>
        <v>#NAME?</v>
      </c>
      <c r="L50" s="29" t="e">
        <f ca="1"/>
        <v>#NAME?</v>
      </c>
      <c r="M50" s="29" t="e">
        <f ca="1"/>
        <v>#NAME?</v>
      </c>
      <c r="N50" s="29" t="e">
        <f ca="1"/>
        <v>#NAME?</v>
      </c>
      <c r="O50" s="27" t="e">
        <f ca="1"/>
        <v>#NAME?</v>
      </c>
      <c r="Q50" s="8" t="e">
        <f t="shared" ca="1" si="4"/>
        <v>#NAME?</v>
      </c>
      <c r="R50" s="8" t="e">
        <f t="array" aca="1" ref="R50" ca="1">SQRT(MMULT($F50:$O50,MMULT($B$3:$K$12,TRANSPOSE($F50:$O50))))-B50</f>
        <v>#NAME?</v>
      </c>
      <c r="S50" s="8" t="e">
        <f t="shared" ca="1" si="5"/>
        <v>#NAME?</v>
      </c>
      <c r="T50" s="8" t="e">
        <f t="array" aca="1" ref="T50" ca="1">SUM(IF($F50:$O50&lt;TRANSPOSE($O$3:$O$12),ABS($F50:$O50-TRANSPOSE($O$3:$O$12)),"-"))+SUM(IF($F50:$O50&gt;TRANSPOSE($P$3:$P$12),ABS($F50:$O50-TRANSPOSE($P$3:$P$12)),"-"))</f>
        <v>#NAME?</v>
      </c>
      <c r="U50" s="8" t="e">
        <f t="array" aca="1" ref="U50" ca="1">SUM(IF(MMULT($F50:$O50,$B$17:$E$26)&lt;($B$28:$E$28),ABS(MMULT($F50:$O50,$B$17:$E$26)-$B$28:$E$28),"-"))+SUM(IF(MMULT($F50:$O50,$B$17:$E$26)&gt;($B$29:$E$29),(MMULT($F50:$O50,$B$17:$E$26)-$B$29:$E$29),"-"))</f>
        <v>#NAME?</v>
      </c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2:35" ht="15" x14ac:dyDescent="0.25">
      <c r="B51" s="26" t="e">
        <f ca="1"/>
        <v>#NAME?</v>
      </c>
      <c r="C51" s="27" t="e">
        <f ca="1"/>
        <v>#NAME?</v>
      </c>
      <c r="D51" s="26" t="e">
        <f ca="1"/>
        <v>#NAME?</v>
      </c>
      <c r="E51" s="27" t="e">
        <f ca="1"/>
        <v>#NAME?</v>
      </c>
      <c r="F51" s="26" t="e">
        <f ca="1"/>
        <v>#NAME?</v>
      </c>
      <c r="G51" s="29" t="e">
        <f ca="1"/>
        <v>#NAME?</v>
      </c>
      <c r="H51" s="29" t="e">
        <f ca="1"/>
        <v>#NAME?</v>
      </c>
      <c r="I51" s="29" t="e">
        <f ca="1"/>
        <v>#NAME?</v>
      </c>
      <c r="J51" s="29" t="e">
        <f ca="1"/>
        <v>#NAME?</v>
      </c>
      <c r="K51" s="29" t="e">
        <f ca="1"/>
        <v>#NAME?</v>
      </c>
      <c r="L51" s="29" t="e">
        <f ca="1"/>
        <v>#NAME?</v>
      </c>
      <c r="M51" s="29" t="e">
        <f ca="1"/>
        <v>#NAME?</v>
      </c>
      <c r="N51" s="29" t="e">
        <f ca="1"/>
        <v>#NAME?</v>
      </c>
      <c r="O51" s="27" t="e">
        <f ca="1"/>
        <v>#NAME?</v>
      </c>
      <c r="Q51" s="8" t="e">
        <f t="shared" ca="1" si="4"/>
        <v>#NAME?</v>
      </c>
      <c r="R51" s="8" t="e">
        <f t="array" aca="1" ref="R51" ca="1">SQRT(MMULT($F51:$O51,MMULT($B$3:$K$12,TRANSPOSE($F51:$O51))))-B51</f>
        <v>#NAME?</v>
      </c>
      <c r="S51" s="8" t="e">
        <f t="shared" ca="1" si="5"/>
        <v>#NAME?</v>
      </c>
      <c r="T51" s="8" t="e">
        <f t="array" aca="1" ref="T51" ca="1">SUM(IF($F51:$O51&lt;TRANSPOSE($O$3:$O$12),ABS($F51:$O51-TRANSPOSE($O$3:$O$12)),"-"))+SUM(IF($F51:$O51&gt;TRANSPOSE($P$3:$P$12),ABS($F51:$O51-TRANSPOSE($P$3:$P$12)),"-"))</f>
        <v>#NAME?</v>
      </c>
      <c r="U51" s="8" t="e">
        <f t="array" aca="1" ref="U51" ca="1">SUM(IF(MMULT($F51:$O51,$B$17:$E$26)&lt;($B$28:$E$28),ABS(MMULT($F51:$O51,$B$17:$E$26)-$B$28:$E$28),"-"))+SUM(IF(MMULT($F51:$O51,$B$17:$E$26)&gt;($B$29:$E$29),(MMULT($F51:$O51,$B$17:$E$26)-$B$29:$E$29),"-"))</f>
        <v>#NAME?</v>
      </c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2:35" ht="15" x14ac:dyDescent="0.25">
      <c r="B52" s="26" t="e">
        <f ca="1"/>
        <v>#NAME?</v>
      </c>
      <c r="C52" s="27" t="e">
        <f ca="1"/>
        <v>#NAME?</v>
      </c>
      <c r="D52" s="26" t="e">
        <f ca="1"/>
        <v>#NAME?</v>
      </c>
      <c r="E52" s="27" t="e">
        <f ca="1"/>
        <v>#NAME?</v>
      </c>
      <c r="F52" s="26" t="e">
        <f ca="1"/>
        <v>#NAME?</v>
      </c>
      <c r="G52" s="29" t="e">
        <f ca="1"/>
        <v>#NAME?</v>
      </c>
      <c r="H52" s="29" t="e">
        <f ca="1"/>
        <v>#NAME?</v>
      </c>
      <c r="I52" s="29" t="e">
        <f ca="1"/>
        <v>#NAME?</v>
      </c>
      <c r="J52" s="29" t="e">
        <f ca="1"/>
        <v>#NAME?</v>
      </c>
      <c r="K52" s="29" t="e">
        <f ca="1"/>
        <v>#NAME?</v>
      </c>
      <c r="L52" s="29" t="e">
        <f ca="1"/>
        <v>#NAME?</v>
      </c>
      <c r="M52" s="29" t="e">
        <f ca="1"/>
        <v>#NAME?</v>
      </c>
      <c r="N52" s="29" t="e">
        <f ca="1"/>
        <v>#NAME?</v>
      </c>
      <c r="O52" s="27" t="e">
        <f ca="1"/>
        <v>#NAME?</v>
      </c>
      <c r="Q52" s="8" t="e">
        <f t="shared" ca="1" si="4"/>
        <v>#NAME?</v>
      </c>
      <c r="R52" s="8" t="e">
        <f t="array" aca="1" ref="R52" ca="1">SQRT(MMULT($F52:$O52,MMULT($B$3:$K$12,TRANSPOSE($F52:$O52))))-B52</f>
        <v>#NAME?</v>
      </c>
      <c r="S52" s="8" t="e">
        <f t="shared" ca="1" si="5"/>
        <v>#NAME?</v>
      </c>
      <c r="T52" s="8" t="e">
        <f t="array" aca="1" ref="T52" ca="1">SUM(IF($F52:$O52&lt;TRANSPOSE($O$3:$O$12),ABS($F52:$O52-TRANSPOSE($O$3:$O$12)),"-"))+SUM(IF($F52:$O52&gt;TRANSPOSE($P$3:$P$12),ABS($F52:$O52-TRANSPOSE($P$3:$P$12)),"-"))</f>
        <v>#NAME?</v>
      </c>
      <c r="U52" s="8" t="e">
        <f t="array" aca="1" ref="U52" ca="1">SUM(IF(MMULT($F52:$O52,$B$17:$E$26)&lt;($B$28:$E$28),ABS(MMULT($F52:$O52,$B$17:$E$26)-$B$28:$E$28),"-"))+SUM(IF(MMULT($F52:$O52,$B$17:$E$26)&gt;($B$29:$E$29),(MMULT($F52:$O52,$B$17:$E$26)-$B$29:$E$29),"-"))</f>
        <v>#NAME?</v>
      </c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2:35" ht="15" x14ac:dyDescent="0.25">
      <c r="B53" s="26" t="e">
        <f ca="1"/>
        <v>#NAME?</v>
      </c>
      <c r="C53" s="27" t="e">
        <f ca="1"/>
        <v>#NAME?</v>
      </c>
      <c r="D53" s="26" t="e">
        <f ca="1"/>
        <v>#NAME?</v>
      </c>
      <c r="E53" s="27" t="e">
        <f ca="1"/>
        <v>#NAME?</v>
      </c>
      <c r="F53" s="26" t="e">
        <f ca="1"/>
        <v>#NAME?</v>
      </c>
      <c r="G53" s="29" t="e">
        <f ca="1"/>
        <v>#NAME?</v>
      </c>
      <c r="H53" s="29" t="e">
        <f ca="1"/>
        <v>#NAME?</v>
      </c>
      <c r="I53" s="29" t="e">
        <f ca="1"/>
        <v>#NAME?</v>
      </c>
      <c r="J53" s="29" t="e">
        <f ca="1"/>
        <v>#NAME?</v>
      </c>
      <c r="K53" s="29" t="e">
        <f ca="1"/>
        <v>#NAME?</v>
      </c>
      <c r="L53" s="29" t="e">
        <f ca="1"/>
        <v>#NAME?</v>
      </c>
      <c r="M53" s="29" t="e">
        <f ca="1"/>
        <v>#NAME?</v>
      </c>
      <c r="N53" s="29" t="e">
        <f ca="1"/>
        <v>#NAME?</v>
      </c>
      <c r="O53" s="27" t="e">
        <f ca="1"/>
        <v>#NAME?</v>
      </c>
      <c r="Q53" s="8" t="e">
        <f t="shared" ca="1" si="4"/>
        <v>#NAME?</v>
      </c>
      <c r="R53" s="8" t="e">
        <f t="array" aca="1" ref="R53" ca="1">SQRT(MMULT($F53:$O53,MMULT($B$3:$K$12,TRANSPOSE($F53:$O53))))-B53</f>
        <v>#NAME?</v>
      </c>
      <c r="S53" s="8" t="e">
        <f t="shared" ca="1" si="5"/>
        <v>#NAME?</v>
      </c>
      <c r="T53" s="8" t="e">
        <f t="array" aca="1" ref="T53" ca="1">SUM(IF($F53:$O53&lt;TRANSPOSE($O$3:$O$12),ABS($F53:$O53-TRANSPOSE($O$3:$O$12)),"-"))+SUM(IF($F53:$O53&gt;TRANSPOSE($P$3:$P$12),ABS($F53:$O53-TRANSPOSE($P$3:$P$12)),"-"))</f>
        <v>#NAME?</v>
      </c>
      <c r="U53" s="8" t="e">
        <f t="array" aca="1" ref="U53" ca="1">SUM(IF(MMULT($F53:$O53,$B$17:$E$26)&lt;($B$28:$E$28),ABS(MMULT($F53:$O53,$B$17:$E$26)-$B$28:$E$28),"-"))+SUM(IF(MMULT($F53:$O53,$B$17:$E$26)&gt;($B$29:$E$29),(MMULT($F53:$O53,$B$17:$E$26)-$B$29:$E$29),"-"))</f>
        <v>#NAME?</v>
      </c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2:35" ht="15" x14ac:dyDescent="0.25">
      <c r="B54" s="26" t="e">
        <f ca="1"/>
        <v>#NAME?</v>
      </c>
      <c r="C54" s="27" t="e">
        <f ca="1"/>
        <v>#NAME?</v>
      </c>
      <c r="D54" s="26" t="e">
        <f ca="1"/>
        <v>#NAME?</v>
      </c>
      <c r="E54" s="27" t="e">
        <f ca="1"/>
        <v>#NAME?</v>
      </c>
      <c r="F54" s="26" t="e">
        <f ca="1"/>
        <v>#NAME?</v>
      </c>
      <c r="G54" s="29" t="e">
        <f ca="1"/>
        <v>#NAME?</v>
      </c>
      <c r="H54" s="29" t="e">
        <f ca="1"/>
        <v>#NAME?</v>
      </c>
      <c r="I54" s="29" t="e">
        <f ca="1"/>
        <v>#NAME?</v>
      </c>
      <c r="J54" s="29" t="e">
        <f ca="1"/>
        <v>#NAME?</v>
      </c>
      <c r="K54" s="29" t="e">
        <f ca="1"/>
        <v>#NAME?</v>
      </c>
      <c r="L54" s="29" t="e">
        <f ca="1"/>
        <v>#NAME?</v>
      </c>
      <c r="M54" s="29" t="e">
        <f ca="1"/>
        <v>#NAME?</v>
      </c>
      <c r="N54" s="29" t="e">
        <f ca="1"/>
        <v>#NAME?</v>
      </c>
      <c r="O54" s="27" t="e">
        <f ca="1"/>
        <v>#NAME?</v>
      </c>
      <c r="Q54" s="8" t="e">
        <f t="shared" ca="1" si="4"/>
        <v>#NAME?</v>
      </c>
      <c r="R54" s="8" t="e">
        <f t="array" aca="1" ref="R54" ca="1">SQRT(MMULT($F54:$O54,MMULT($B$3:$K$12,TRANSPOSE($F54:$O54))))-B54</f>
        <v>#NAME?</v>
      </c>
      <c r="S54" s="8" t="e">
        <f t="shared" ca="1" si="5"/>
        <v>#NAME?</v>
      </c>
      <c r="T54" s="8" t="e">
        <f t="array" aca="1" ref="T54" ca="1">SUM(IF($F54:$O54&lt;TRANSPOSE($O$3:$O$12),ABS($F54:$O54-TRANSPOSE($O$3:$O$12)),"-"))+SUM(IF($F54:$O54&gt;TRANSPOSE($P$3:$P$12),ABS($F54:$O54-TRANSPOSE($P$3:$P$12)),"-"))</f>
        <v>#NAME?</v>
      </c>
      <c r="U54" s="8" t="e">
        <f t="array" aca="1" ref="U54" ca="1">SUM(IF(MMULT($F54:$O54,$B$17:$E$26)&lt;($B$28:$E$28),ABS(MMULT($F54:$O54,$B$17:$E$26)-$B$28:$E$28),"-"))+SUM(IF(MMULT($F54:$O54,$B$17:$E$26)&gt;($B$29:$E$29),(MMULT($F54:$O54,$B$17:$E$26)-$B$29:$E$29),"-"))</f>
        <v>#NAME?</v>
      </c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2:35" ht="15" x14ac:dyDescent="0.25">
      <c r="B55" s="26" t="e">
        <f ca="1"/>
        <v>#NAME?</v>
      </c>
      <c r="C55" s="27" t="e">
        <f ca="1"/>
        <v>#NAME?</v>
      </c>
      <c r="D55" s="26" t="e">
        <f ca="1"/>
        <v>#NAME?</v>
      </c>
      <c r="E55" s="27" t="e">
        <f ca="1"/>
        <v>#NAME?</v>
      </c>
      <c r="F55" s="26" t="e">
        <f ca="1"/>
        <v>#NAME?</v>
      </c>
      <c r="G55" s="29" t="e">
        <f ca="1"/>
        <v>#NAME?</v>
      </c>
      <c r="H55" s="29" t="e">
        <f ca="1"/>
        <v>#NAME?</v>
      </c>
      <c r="I55" s="29" t="e">
        <f ca="1"/>
        <v>#NAME?</v>
      </c>
      <c r="J55" s="29" t="e">
        <f ca="1"/>
        <v>#NAME?</v>
      </c>
      <c r="K55" s="29" t="e">
        <f ca="1"/>
        <v>#NAME?</v>
      </c>
      <c r="L55" s="29" t="e">
        <f ca="1"/>
        <v>#NAME?</v>
      </c>
      <c r="M55" s="29" t="e">
        <f ca="1"/>
        <v>#NAME?</v>
      </c>
      <c r="N55" s="29" t="e">
        <f ca="1"/>
        <v>#NAME?</v>
      </c>
      <c r="O55" s="27" t="e">
        <f ca="1"/>
        <v>#NAME?</v>
      </c>
      <c r="Q55" s="8" t="e">
        <f t="shared" ca="1" si="4"/>
        <v>#NAME?</v>
      </c>
      <c r="R55" s="8" t="e">
        <f t="array" aca="1" ref="R55" ca="1">SQRT(MMULT($F55:$O55,MMULT($B$3:$K$12,TRANSPOSE($F55:$O55))))-B55</f>
        <v>#NAME?</v>
      </c>
      <c r="S55" s="8" t="e">
        <f t="shared" ca="1" si="5"/>
        <v>#NAME?</v>
      </c>
      <c r="T55" s="8" t="e">
        <f t="array" aca="1" ref="T55" ca="1">SUM(IF($F55:$O55&lt;TRANSPOSE($O$3:$O$12),ABS($F55:$O55-TRANSPOSE($O$3:$O$12)),"-"))+SUM(IF($F55:$O55&gt;TRANSPOSE($P$3:$P$12),ABS($F55:$O55-TRANSPOSE($P$3:$P$12)),"-"))</f>
        <v>#NAME?</v>
      </c>
      <c r="U55" s="8" t="e">
        <f t="array" aca="1" ref="U55" ca="1">SUM(IF(MMULT($F55:$O55,$B$17:$E$26)&lt;($B$28:$E$28),ABS(MMULT($F55:$O55,$B$17:$E$26)-$B$28:$E$28),"-"))+SUM(IF(MMULT($F55:$O55,$B$17:$E$26)&gt;($B$29:$E$29),(MMULT($F55:$O55,$B$17:$E$26)-$B$29:$E$29),"-"))</f>
        <v>#NAME?</v>
      </c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2:35" ht="15" x14ac:dyDescent="0.25">
      <c r="B56" s="26" t="e">
        <f ca="1"/>
        <v>#NAME?</v>
      </c>
      <c r="C56" s="27" t="e">
        <f ca="1"/>
        <v>#NAME?</v>
      </c>
      <c r="D56" s="26" t="e">
        <f ca="1"/>
        <v>#NAME?</v>
      </c>
      <c r="E56" s="27" t="e">
        <f ca="1"/>
        <v>#NAME?</v>
      </c>
      <c r="F56" s="26" t="e">
        <f ca="1"/>
        <v>#NAME?</v>
      </c>
      <c r="G56" s="29" t="e">
        <f ca="1"/>
        <v>#NAME?</v>
      </c>
      <c r="H56" s="29" t="e">
        <f ca="1"/>
        <v>#NAME?</v>
      </c>
      <c r="I56" s="29" t="e">
        <f ca="1"/>
        <v>#NAME?</v>
      </c>
      <c r="J56" s="29" t="e">
        <f ca="1"/>
        <v>#NAME?</v>
      </c>
      <c r="K56" s="29" t="e">
        <f ca="1"/>
        <v>#NAME?</v>
      </c>
      <c r="L56" s="29" t="e">
        <f ca="1"/>
        <v>#NAME?</v>
      </c>
      <c r="M56" s="29" t="e">
        <f ca="1"/>
        <v>#NAME?</v>
      </c>
      <c r="N56" s="29" t="e">
        <f ca="1"/>
        <v>#NAME?</v>
      </c>
      <c r="O56" s="27" t="e">
        <f ca="1"/>
        <v>#NAME?</v>
      </c>
      <c r="Q56" s="8" t="e">
        <f t="shared" ca="1" si="4"/>
        <v>#NAME?</v>
      </c>
      <c r="R56" s="8" t="e">
        <f t="array" aca="1" ref="R56" ca="1">SQRT(MMULT($F56:$O56,MMULT($B$3:$K$12,TRANSPOSE($F56:$O56))))-B56</f>
        <v>#NAME?</v>
      </c>
      <c r="S56" s="8" t="e">
        <f t="shared" ca="1" si="5"/>
        <v>#NAME?</v>
      </c>
      <c r="T56" s="8" t="e">
        <f t="array" aca="1" ref="T56" ca="1">SUM(IF($F56:$O56&lt;TRANSPOSE($O$3:$O$12),ABS($F56:$O56-TRANSPOSE($O$3:$O$12)),"-"))+SUM(IF($F56:$O56&gt;TRANSPOSE($P$3:$P$12),ABS($F56:$O56-TRANSPOSE($P$3:$P$12)),"-"))</f>
        <v>#NAME?</v>
      </c>
      <c r="U56" s="8" t="e">
        <f t="array" aca="1" ref="U56" ca="1">SUM(IF(MMULT($F56:$O56,$B$17:$E$26)&lt;($B$28:$E$28),ABS(MMULT($F56:$O56,$B$17:$E$26)-$B$28:$E$28),"-"))+SUM(IF(MMULT($F56:$O56,$B$17:$E$26)&gt;($B$29:$E$29),(MMULT($F56:$O56,$B$17:$E$26)-$B$29:$E$29),"-"))</f>
        <v>#NAME?</v>
      </c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2:35" ht="15" x14ac:dyDescent="0.25">
      <c r="B57" s="26" t="e">
        <f ca="1"/>
        <v>#NAME?</v>
      </c>
      <c r="C57" s="27" t="e">
        <f ca="1"/>
        <v>#NAME?</v>
      </c>
      <c r="D57" s="26" t="e">
        <f ca="1"/>
        <v>#NAME?</v>
      </c>
      <c r="E57" s="27" t="e">
        <f ca="1"/>
        <v>#NAME?</v>
      </c>
      <c r="F57" s="26" t="e">
        <f ca="1"/>
        <v>#NAME?</v>
      </c>
      <c r="G57" s="29" t="e">
        <f ca="1"/>
        <v>#NAME?</v>
      </c>
      <c r="H57" s="29" t="e">
        <f ca="1"/>
        <v>#NAME?</v>
      </c>
      <c r="I57" s="29" t="e">
        <f ca="1"/>
        <v>#NAME?</v>
      </c>
      <c r="J57" s="29" t="e">
        <f ca="1"/>
        <v>#NAME?</v>
      </c>
      <c r="K57" s="29" t="e">
        <f ca="1"/>
        <v>#NAME?</v>
      </c>
      <c r="L57" s="29" t="e">
        <f ca="1"/>
        <v>#NAME?</v>
      </c>
      <c r="M57" s="29" t="e">
        <f ca="1"/>
        <v>#NAME?</v>
      </c>
      <c r="N57" s="29" t="e">
        <f ca="1"/>
        <v>#NAME?</v>
      </c>
      <c r="O57" s="27" t="e">
        <f ca="1"/>
        <v>#NAME?</v>
      </c>
      <c r="Q57" s="8" t="e">
        <f t="shared" ca="1" si="4"/>
        <v>#NAME?</v>
      </c>
      <c r="R57" s="8" t="e">
        <f t="array" aca="1" ref="R57" ca="1">SQRT(MMULT($F57:$O57,MMULT($B$3:$K$12,TRANSPOSE($F57:$O57))))-B57</f>
        <v>#NAME?</v>
      </c>
      <c r="S57" s="8" t="e">
        <f t="shared" ca="1" si="5"/>
        <v>#NAME?</v>
      </c>
      <c r="T57" s="8" t="e">
        <f t="array" aca="1" ref="T57" ca="1">SUM(IF($F57:$O57&lt;TRANSPOSE($O$3:$O$12),ABS($F57:$O57-TRANSPOSE($O$3:$O$12)),"-"))+SUM(IF($F57:$O57&gt;TRANSPOSE($P$3:$P$12),ABS($F57:$O57-TRANSPOSE($P$3:$P$12)),"-"))</f>
        <v>#NAME?</v>
      </c>
      <c r="U57" s="8" t="e">
        <f t="array" aca="1" ref="U57" ca="1">SUM(IF(MMULT($F57:$O57,$B$17:$E$26)&lt;($B$28:$E$28),ABS(MMULT($F57:$O57,$B$17:$E$26)-$B$28:$E$28),"-"))+SUM(IF(MMULT($F57:$O57,$B$17:$E$26)&gt;($B$29:$E$29),(MMULT($F57:$O57,$B$17:$E$26)-$B$29:$E$29),"-"))</f>
        <v>#NAME?</v>
      </c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2:35" ht="15" x14ac:dyDescent="0.25">
      <c r="B58" s="26" t="e">
        <f ca="1"/>
        <v>#NAME?</v>
      </c>
      <c r="C58" s="27" t="e">
        <f ca="1"/>
        <v>#NAME?</v>
      </c>
      <c r="D58" s="26" t="e">
        <f ca="1"/>
        <v>#NAME?</v>
      </c>
      <c r="E58" s="27" t="e">
        <f ca="1"/>
        <v>#NAME?</v>
      </c>
      <c r="F58" s="26" t="e">
        <f ca="1"/>
        <v>#NAME?</v>
      </c>
      <c r="G58" s="29" t="e">
        <f ca="1"/>
        <v>#NAME?</v>
      </c>
      <c r="H58" s="29" t="e">
        <f ca="1"/>
        <v>#NAME?</v>
      </c>
      <c r="I58" s="29" t="e">
        <f ca="1"/>
        <v>#NAME?</v>
      </c>
      <c r="J58" s="29" t="e">
        <f ca="1"/>
        <v>#NAME?</v>
      </c>
      <c r="K58" s="29" t="e">
        <f ca="1"/>
        <v>#NAME?</v>
      </c>
      <c r="L58" s="29" t="e">
        <f ca="1"/>
        <v>#NAME?</v>
      </c>
      <c r="M58" s="29" t="e">
        <f ca="1"/>
        <v>#NAME?</v>
      </c>
      <c r="N58" s="29" t="e">
        <f ca="1"/>
        <v>#NAME?</v>
      </c>
      <c r="O58" s="27" t="e">
        <f ca="1"/>
        <v>#NAME?</v>
      </c>
      <c r="Q58" s="8" t="e">
        <f t="shared" ca="1" si="4"/>
        <v>#NAME?</v>
      </c>
      <c r="R58" s="8" t="e">
        <f t="array" aca="1" ref="R58" ca="1">SQRT(MMULT($F58:$O58,MMULT($B$3:$K$12,TRANSPOSE($F58:$O58))))-B58</f>
        <v>#NAME?</v>
      </c>
      <c r="S58" s="8" t="e">
        <f t="shared" ca="1" si="5"/>
        <v>#NAME?</v>
      </c>
      <c r="T58" s="8" t="e">
        <f t="array" aca="1" ref="T58" ca="1">SUM(IF($F58:$O58&lt;TRANSPOSE($O$3:$O$12),ABS($F58:$O58-TRANSPOSE($O$3:$O$12)),"-"))+SUM(IF($F58:$O58&gt;TRANSPOSE($P$3:$P$12),ABS($F58:$O58-TRANSPOSE($P$3:$P$12)),"-"))</f>
        <v>#NAME?</v>
      </c>
      <c r="U58" s="8" t="e">
        <f t="array" aca="1" ref="U58" ca="1">SUM(IF(MMULT($F58:$O58,$B$17:$E$26)&lt;($B$28:$E$28),ABS(MMULT($F58:$O58,$B$17:$E$26)-$B$28:$E$28),"-"))+SUM(IF(MMULT($F58:$O58,$B$17:$E$26)&gt;($B$29:$E$29),(MMULT($F58:$O58,$B$17:$E$26)-$B$29:$E$29),"-"))</f>
        <v>#NAME?</v>
      </c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2:35" ht="15" x14ac:dyDescent="0.25">
      <c r="B59" s="26" t="e">
        <f ca="1"/>
        <v>#NAME?</v>
      </c>
      <c r="C59" s="27" t="e">
        <f ca="1"/>
        <v>#NAME?</v>
      </c>
      <c r="D59" s="26" t="e">
        <f ca="1"/>
        <v>#NAME?</v>
      </c>
      <c r="E59" s="27" t="e">
        <f ca="1"/>
        <v>#NAME?</v>
      </c>
      <c r="F59" s="26" t="e">
        <f ca="1"/>
        <v>#NAME?</v>
      </c>
      <c r="G59" s="29" t="e">
        <f ca="1"/>
        <v>#NAME?</v>
      </c>
      <c r="H59" s="29" t="e">
        <f ca="1"/>
        <v>#NAME?</v>
      </c>
      <c r="I59" s="29" t="e">
        <f ca="1"/>
        <v>#NAME?</v>
      </c>
      <c r="J59" s="29" t="e">
        <f ca="1"/>
        <v>#NAME?</v>
      </c>
      <c r="K59" s="29" t="e">
        <f ca="1"/>
        <v>#NAME?</v>
      </c>
      <c r="L59" s="29" t="e">
        <f ca="1"/>
        <v>#NAME?</v>
      </c>
      <c r="M59" s="29" t="e">
        <f ca="1"/>
        <v>#NAME?</v>
      </c>
      <c r="N59" s="29" t="e">
        <f ca="1"/>
        <v>#NAME?</v>
      </c>
      <c r="O59" s="27" t="e">
        <f ca="1"/>
        <v>#NAME?</v>
      </c>
      <c r="Q59" s="8" t="e">
        <f t="shared" ca="1" si="4"/>
        <v>#NAME?</v>
      </c>
      <c r="R59" s="8" t="e">
        <f t="array" aca="1" ref="R59" ca="1">SQRT(MMULT($F59:$O59,MMULT($B$3:$K$12,TRANSPOSE($F59:$O59))))-B59</f>
        <v>#NAME?</v>
      </c>
      <c r="S59" s="8" t="e">
        <f t="shared" ca="1" si="5"/>
        <v>#NAME?</v>
      </c>
      <c r="T59" s="8" t="e">
        <f t="array" aca="1" ref="T59" ca="1">SUM(IF($F59:$O59&lt;TRANSPOSE($O$3:$O$12),ABS($F59:$O59-TRANSPOSE($O$3:$O$12)),"-"))+SUM(IF($F59:$O59&gt;TRANSPOSE($P$3:$P$12),ABS($F59:$O59-TRANSPOSE($P$3:$P$12)),"-"))</f>
        <v>#NAME?</v>
      </c>
      <c r="U59" s="8" t="e">
        <f t="array" aca="1" ref="U59" ca="1">SUM(IF(MMULT($F59:$O59,$B$17:$E$26)&lt;($B$28:$E$28),ABS(MMULT($F59:$O59,$B$17:$E$26)-$B$28:$E$28),"-"))+SUM(IF(MMULT($F59:$O59,$B$17:$E$26)&gt;($B$29:$E$29),(MMULT($F59:$O59,$B$17:$E$26)-$B$29:$E$29),"-"))</f>
        <v>#NAME?</v>
      </c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2:35" ht="15" x14ac:dyDescent="0.25">
      <c r="B60" s="26" t="e">
        <f ca="1"/>
        <v>#NAME?</v>
      </c>
      <c r="C60" s="27" t="e">
        <f ca="1"/>
        <v>#NAME?</v>
      </c>
      <c r="D60" s="26" t="e">
        <f ca="1"/>
        <v>#NAME?</v>
      </c>
      <c r="E60" s="27" t="e">
        <f ca="1"/>
        <v>#NAME?</v>
      </c>
      <c r="F60" s="26" t="e">
        <f ca="1"/>
        <v>#NAME?</v>
      </c>
      <c r="G60" s="29" t="e">
        <f ca="1"/>
        <v>#NAME?</v>
      </c>
      <c r="H60" s="29" t="e">
        <f ca="1"/>
        <v>#NAME?</v>
      </c>
      <c r="I60" s="29" t="e">
        <f ca="1"/>
        <v>#NAME?</v>
      </c>
      <c r="J60" s="29" t="e">
        <f ca="1"/>
        <v>#NAME?</v>
      </c>
      <c r="K60" s="29" t="e">
        <f ca="1"/>
        <v>#NAME?</v>
      </c>
      <c r="L60" s="29" t="e">
        <f ca="1"/>
        <v>#NAME?</v>
      </c>
      <c r="M60" s="29" t="e">
        <f ca="1"/>
        <v>#NAME?</v>
      </c>
      <c r="N60" s="29" t="e">
        <f ca="1"/>
        <v>#NAME?</v>
      </c>
      <c r="O60" s="27" t="e">
        <f ca="1"/>
        <v>#NAME?</v>
      </c>
      <c r="Q60" s="8" t="e">
        <f t="shared" ca="1" si="4"/>
        <v>#NAME?</v>
      </c>
      <c r="R60" s="8" t="e">
        <f t="array" aca="1" ref="R60" ca="1">SQRT(MMULT($F60:$O60,MMULT($B$3:$K$12,TRANSPOSE($F60:$O60))))-B60</f>
        <v>#NAME?</v>
      </c>
      <c r="S60" s="8" t="e">
        <f t="shared" ca="1" si="5"/>
        <v>#NAME?</v>
      </c>
      <c r="T60" s="8" t="e">
        <f t="array" aca="1" ref="T60" ca="1">SUM(IF($F60:$O60&lt;TRANSPOSE($O$3:$O$12),ABS($F60:$O60-TRANSPOSE($O$3:$O$12)),"-"))+SUM(IF($F60:$O60&gt;TRANSPOSE($P$3:$P$12),ABS($F60:$O60-TRANSPOSE($P$3:$P$12)),"-"))</f>
        <v>#NAME?</v>
      </c>
      <c r="U60" s="8" t="e">
        <f t="array" aca="1" ref="U60" ca="1">SUM(IF(MMULT($F60:$O60,$B$17:$E$26)&lt;($B$28:$E$28),ABS(MMULT($F60:$O60,$B$17:$E$26)-$B$28:$E$28),"-"))+SUM(IF(MMULT($F60:$O60,$B$17:$E$26)&gt;($B$29:$E$29),(MMULT($F60:$O60,$B$17:$E$26)-$B$29:$E$29),"-"))</f>
        <v>#NAME?</v>
      </c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2:35" ht="15" x14ac:dyDescent="0.25">
      <c r="B61" s="26" t="e">
        <f ca="1"/>
        <v>#NAME?</v>
      </c>
      <c r="C61" s="27" t="e">
        <f ca="1"/>
        <v>#NAME?</v>
      </c>
      <c r="D61" s="26" t="e">
        <f ca="1"/>
        <v>#NAME?</v>
      </c>
      <c r="E61" s="27" t="e">
        <f ca="1"/>
        <v>#NAME?</v>
      </c>
      <c r="F61" s="26" t="e">
        <f ca="1"/>
        <v>#NAME?</v>
      </c>
      <c r="G61" s="29" t="e">
        <f ca="1"/>
        <v>#NAME?</v>
      </c>
      <c r="H61" s="29" t="e">
        <f ca="1"/>
        <v>#NAME?</v>
      </c>
      <c r="I61" s="29" t="e">
        <f ca="1"/>
        <v>#NAME?</v>
      </c>
      <c r="J61" s="29" t="e">
        <f ca="1"/>
        <v>#NAME?</v>
      </c>
      <c r="K61" s="29" t="e">
        <f ca="1"/>
        <v>#NAME?</v>
      </c>
      <c r="L61" s="29" t="e">
        <f ca="1"/>
        <v>#NAME?</v>
      </c>
      <c r="M61" s="29" t="e">
        <f ca="1"/>
        <v>#NAME?</v>
      </c>
      <c r="N61" s="29" t="e">
        <f ca="1"/>
        <v>#NAME?</v>
      </c>
      <c r="O61" s="27" t="e">
        <f ca="1"/>
        <v>#NAME?</v>
      </c>
      <c r="Q61" s="8" t="e">
        <f t="shared" ca="1" si="4"/>
        <v>#NAME?</v>
      </c>
      <c r="R61" s="8" t="e">
        <f t="array" aca="1" ref="R61" ca="1">SQRT(MMULT($F61:$O61,MMULT($B$3:$K$12,TRANSPOSE($F61:$O61))))-B61</f>
        <v>#NAME?</v>
      </c>
      <c r="S61" s="8" t="e">
        <f t="shared" ca="1" si="5"/>
        <v>#NAME?</v>
      </c>
      <c r="T61" s="8" t="e">
        <f t="array" aca="1" ref="T61" ca="1">SUM(IF($F61:$O61&lt;TRANSPOSE($O$3:$O$12),ABS($F61:$O61-TRANSPOSE($O$3:$O$12)),"-"))+SUM(IF($F61:$O61&gt;TRANSPOSE($P$3:$P$12),ABS($F61:$O61-TRANSPOSE($P$3:$P$12)),"-"))</f>
        <v>#NAME?</v>
      </c>
      <c r="U61" s="8" t="e">
        <f t="array" aca="1" ref="U61" ca="1">SUM(IF(MMULT($F61:$O61,$B$17:$E$26)&lt;($B$28:$E$28),ABS(MMULT($F61:$O61,$B$17:$E$26)-$B$28:$E$28),"-"))+SUM(IF(MMULT($F61:$O61,$B$17:$E$26)&gt;($B$29:$E$29),(MMULT($F61:$O61,$B$17:$E$26)-$B$29:$E$29),"-"))</f>
        <v>#NAME?</v>
      </c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2:35" ht="15" x14ac:dyDescent="0.25">
      <c r="B62" s="26" t="e">
        <f ca="1"/>
        <v>#NAME?</v>
      </c>
      <c r="C62" s="27" t="e">
        <f ca="1"/>
        <v>#NAME?</v>
      </c>
      <c r="D62" s="26" t="e">
        <f ca="1"/>
        <v>#NAME?</v>
      </c>
      <c r="E62" s="27" t="e">
        <f ca="1"/>
        <v>#NAME?</v>
      </c>
      <c r="F62" s="26" t="e">
        <f ca="1"/>
        <v>#NAME?</v>
      </c>
      <c r="G62" s="29" t="e">
        <f ca="1"/>
        <v>#NAME?</v>
      </c>
      <c r="H62" s="29" t="e">
        <f ca="1"/>
        <v>#NAME?</v>
      </c>
      <c r="I62" s="29" t="e">
        <f ca="1"/>
        <v>#NAME?</v>
      </c>
      <c r="J62" s="29" t="e">
        <f ca="1"/>
        <v>#NAME?</v>
      </c>
      <c r="K62" s="29" t="e">
        <f ca="1"/>
        <v>#NAME?</v>
      </c>
      <c r="L62" s="29" t="e">
        <f ca="1"/>
        <v>#NAME?</v>
      </c>
      <c r="M62" s="29" t="e">
        <f ca="1"/>
        <v>#NAME?</v>
      </c>
      <c r="N62" s="29" t="e">
        <f ca="1"/>
        <v>#NAME?</v>
      </c>
      <c r="O62" s="27" t="e">
        <f ca="1"/>
        <v>#NAME?</v>
      </c>
      <c r="Q62" s="8" t="e">
        <f t="shared" ca="1" si="4"/>
        <v>#NAME?</v>
      </c>
      <c r="R62" s="8" t="e">
        <f t="array" aca="1" ref="R62" ca="1">SQRT(MMULT($F62:$O62,MMULT($B$3:$K$12,TRANSPOSE($F62:$O62))))-B62</f>
        <v>#NAME?</v>
      </c>
      <c r="S62" s="8" t="e">
        <f t="shared" ca="1" si="5"/>
        <v>#NAME?</v>
      </c>
      <c r="T62" s="8" t="e">
        <f t="array" aca="1" ref="T62" ca="1">SUM(IF($F62:$O62&lt;TRANSPOSE($O$3:$O$12),ABS($F62:$O62-TRANSPOSE($O$3:$O$12)),"-"))+SUM(IF($F62:$O62&gt;TRANSPOSE($P$3:$P$12),ABS($F62:$O62-TRANSPOSE($P$3:$P$12)),"-"))</f>
        <v>#NAME?</v>
      </c>
      <c r="U62" s="8" t="e">
        <f t="array" aca="1" ref="U62" ca="1">SUM(IF(MMULT($F62:$O62,$B$17:$E$26)&lt;($B$28:$E$28),ABS(MMULT($F62:$O62,$B$17:$E$26)-$B$28:$E$28),"-"))+SUM(IF(MMULT($F62:$O62,$B$17:$E$26)&gt;($B$29:$E$29),(MMULT($F62:$O62,$B$17:$E$26)-$B$29:$E$29),"-"))</f>
        <v>#NAME?</v>
      </c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2:35" ht="15" x14ac:dyDescent="0.25">
      <c r="B63" s="26" t="e">
        <f ca="1"/>
        <v>#NAME?</v>
      </c>
      <c r="C63" s="27" t="e">
        <f ca="1"/>
        <v>#NAME?</v>
      </c>
      <c r="D63" s="26" t="e">
        <f ca="1"/>
        <v>#NAME?</v>
      </c>
      <c r="E63" s="27" t="e">
        <f ca="1"/>
        <v>#NAME?</v>
      </c>
      <c r="F63" s="26" t="e">
        <f ca="1"/>
        <v>#NAME?</v>
      </c>
      <c r="G63" s="29" t="e">
        <f ca="1"/>
        <v>#NAME?</v>
      </c>
      <c r="H63" s="29" t="e">
        <f ca="1"/>
        <v>#NAME?</v>
      </c>
      <c r="I63" s="29" t="e">
        <f ca="1"/>
        <v>#NAME?</v>
      </c>
      <c r="J63" s="29" t="e">
        <f ca="1"/>
        <v>#NAME?</v>
      </c>
      <c r="K63" s="29" t="e">
        <f ca="1"/>
        <v>#NAME?</v>
      </c>
      <c r="L63" s="29" t="e">
        <f ca="1"/>
        <v>#NAME?</v>
      </c>
      <c r="M63" s="29" t="e">
        <f ca="1"/>
        <v>#NAME?</v>
      </c>
      <c r="N63" s="29" t="e">
        <f ca="1"/>
        <v>#NAME?</v>
      </c>
      <c r="O63" s="27" t="e">
        <f ca="1"/>
        <v>#NAME?</v>
      </c>
      <c r="Q63" s="8" t="e">
        <f t="shared" ca="1" si="4"/>
        <v>#NAME?</v>
      </c>
      <c r="R63" s="8" t="e">
        <f t="array" aca="1" ref="R63" ca="1">SQRT(MMULT($F63:$O63,MMULT($B$3:$K$12,TRANSPOSE($F63:$O63))))-B63</f>
        <v>#NAME?</v>
      </c>
      <c r="S63" s="8" t="e">
        <f t="shared" ca="1" si="5"/>
        <v>#NAME?</v>
      </c>
      <c r="T63" s="8" t="e">
        <f t="array" aca="1" ref="T63" ca="1">SUM(IF($F63:$O63&lt;TRANSPOSE($O$3:$O$12),ABS($F63:$O63-TRANSPOSE($O$3:$O$12)),"-"))+SUM(IF($F63:$O63&gt;TRANSPOSE($P$3:$P$12),ABS($F63:$O63-TRANSPOSE($P$3:$P$12)),"-"))</f>
        <v>#NAME?</v>
      </c>
      <c r="U63" s="8" t="e">
        <f t="array" aca="1" ref="U63" ca="1">SUM(IF(MMULT($F63:$O63,$B$17:$E$26)&lt;($B$28:$E$28),ABS(MMULT($F63:$O63,$B$17:$E$26)-$B$28:$E$28),"-"))+SUM(IF(MMULT($F63:$O63,$B$17:$E$26)&gt;($B$29:$E$29),(MMULT($F63:$O63,$B$17:$E$26)-$B$29:$E$29),"-"))</f>
        <v>#NAME?</v>
      </c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2:35" ht="15" x14ac:dyDescent="0.25">
      <c r="B64" s="26" t="e">
        <f ca="1"/>
        <v>#NAME?</v>
      </c>
      <c r="C64" s="27" t="e">
        <f ca="1"/>
        <v>#NAME?</v>
      </c>
      <c r="D64" s="26" t="e">
        <f ca="1"/>
        <v>#NAME?</v>
      </c>
      <c r="E64" s="27" t="e">
        <f ca="1"/>
        <v>#NAME?</v>
      </c>
      <c r="F64" s="26" t="e">
        <f ca="1"/>
        <v>#NAME?</v>
      </c>
      <c r="G64" s="29" t="e">
        <f ca="1"/>
        <v>#NAME?</v>
      </c>
      <c r="H64" s="29" t="e">
        <f ca="1"/>
        <v>#NAME?</v>
      </c>
      <c r="I64" s="29" t="e">
        <f ca="1"/>
        <v>#NAME?</v>
      </c>
      <c r="J64" s="29" t="e">
        <f ca="1"/>
        <v>#NAME?</v>
      </c>
      <c r="K64" s="29" t="e">
        <f ca="1"/>
        <v>#NAME?</v>
      </c>
      <c r="L64" s="29" t="e">
        <f ca="1"/>
        <v>#NAME?</v>
      </c>
      <c r="M64" s="29" t="e">
        <f ca="1"/>
        <v>#NAME?</v>
      </c>
      <c r="N64" s="29" t="e">
        <f ca="1"/>
        <v>#NAME?</v>
      </c>
      <c r="O64" s="27" t="e">
        <f ca="1"/>
        <v>#NAME?</v>
      </c>
      <c r="Q64" s="8" t="e">
        <f t="shared" ca="1" si="4"/>
        <v>#NAME?</v>
      </c>
      <c r="R64" s="8" t="e">
        <f t="array" aca="1" ref="R64" ca="1">SQRT(MMULT($F64:$O64,MMULT($B$3:$K$12,TRANSPOSE($F64:$O64))))-B64</f>
        <v>#NAME?</v>
      </c>
      <c r="S64" s="8" t="e">
        <f t="shared" ca="1" si="5"/>
        <v>#NAME?</v>
      </c>
      <c r="T64" s="8" t="e">
        <f t="array" aca="1" ref="T64" ca="1">SUM(IF($F64:$O64&lt;TRANSPOSE($O$3:$O$12),ABS($F64:$O64-TRANSPOSE($O$3:$O$12)),"-"))+SUM(IF($F64:$O64&gt;TRANSPOSE($P$3:$P$12),ABS($F64:$O64-TRANSPOSE($P$3:$P$12)),"-"))</f>
        <v>#NAME?</v>
      </c>
      <c r="U64" s="8" t="e">
        <f t="array" aca="1" ref="U64" ca="1">SUM(IF(MMULT($F64:$O64,$B$17:$E$26)&lt;($B$28:$E$28),ABS(MMULT($F64:$O64,$B$17:$E$26)-$B$28:$E$28),"-"))+SUM(IF(MMULT($F64:$O64,$B$17:$E$26)&gt;($B$29:$E$29),(MMULT($F64:$O64,$B$17:$E$26)-$B$29:$E$29),"-"))</f>
        <v>#NAME?</v>
      </c>
      <c r="W64"/>
      <c r="X64"/>
      <c r="Y64"/>
      <c r="Z64"/>
      <c r="AA64"/>
      <c r="AB64"/>
      <c r="AC64"/>
      <c r="AD64"/>
      <c r="AE64"/>
      <c r="AF64"/>
      <c r="AG64"/>
      <c r="AH64"/>
      <c r="AI64"/>
    </row>
    <row r="65" spans="2:35" ht="15" x14ac:dyDescent="0.25">
      <c r="B65" s="26" t="e">
        <f ca="1"/>
        <v>#NAME?</v>
      </c>
      <c r="C65" s="27" t="e">
        <f ca="1"/>
        <v>#NAME?</v>
      </c>
      <c r="D65" s="26" t="e">
        <f ca="1"/>
        <v>#NAME?</v>
      </c>
      <c r="E65" s="27" t="e">
        <f ca="1"/>
        <v>#NAME?</v>
      </c>
      <c r="F65" s="26" t="e">
        <f ca="1"/>
        <v>#NAME?</v>
      </c>
      <c r="G65" s="29" t="e">
        <f ca="1"/>
        <v>#NAME?</v>
      </c>
      <c r="H65" s="29" t="e">
        <f ca="1"/>
        <v>#NAME?</v>
      </c>
      <c r="I65" s="29" t="e">
        <f ca="1"/>
        <v>#NAME?</v>
      </c>
      <c r="J65" s="29" t="e">
        <f ca="1"/>
        <v>#NAME?</v>
      </c>
      <c r="K65" s="29" t="e">
        <f ca="1"/>
        <v>#NAME?</v>
      </c>
      <c r="L65" s="29" t="e">
        <f ca="1"/>
        <v>#NAME?</v>
      </c>
      <c r="M65" s="29" t="e">
        <f ca="1"/>
        <v>#NAME?</v>
      </c>
      <c r="N65" s="29" t="e">
        <f ca="1"/>
        <v>#NAME?</v>
      </c>
      <c r="O65" s="27" t="e">
        <f ca="1"/>
        <v>#NAME?</v>
      </c>
      <c r="Q65" s="8" t="e">
        <f t="shared" ca="1" si="4"/>
        <v>#NAME?</v>
      </c>
      <c r="R65" s="8" t="e">
        <f t="array" aca="1" ref="R65" ca="1">SQRT(MMULT($F65:$O65,MMULT($B$3:$K$12,TRANSPOSE($F65:$O65))))-B65</f>
        <v>#NAME?</v>
      </c>
      <c r="S65" s="8" t="e">
        <f t="shared" ca="1" si="5"/>
        <v>#NAME?</v>
      </c>
      <c r="T65" s="8" t="e">
        <f t="array" aca="1" ref="T65" ca="1">SUM(IF($F65:$O65&lt;TRANSPOSE($O$3:$O$12),ABS($F65:$O65-TRANSPOSE($O$3:$O$12)),"-"))+SUM(IF($F65:$O65&gt;TRANSPOSE($P$3:$P$12),ABS($F65:$O65-TRANSPOSE($P$3:$P$12)),"-"))</f>
        <v>#NAME?</v>
      </c>
      <c r="U65" s="8" t="e">
        <f t="array" aca="1" ref="U65" ca="1">SUM(IF(MMULT($F65:$O65,$B$17:$E$26)&lt;($B$28:$E$28),ABS(MMULT($F65:$O65,$B$17:$E$26)-$B$28:$E$28),"-"))+SUM(IF(MMULT($F65:$O65,$B$17:$E$26)&gt;($B$29:$E$29),(MMULT($F65:$O65,$B$17:$E$26)-$B$29:$E$29),"-"))</f>
        <v>#NAME?</v>
      </c>
      <c r="W65"/>
      <c r="X65"/>
      <c r="Y65"/>
      <c r="Z65"/>
      <c r="AA65"/>
      <c r="AB65"/>
      <c r="AC65"/>
      <c r="AD65"/>
      <c r="AE65"/>
      <c r="AF65"/>
      <c r="AG65"/>
      <c r="AH65"/>
      <c r="AI65"/>
    </row>
    <row r="66" spans="2:35" ht="15" x14ac:dyDescent="0.25">
      <c r="B66" s="26" t="e">
        <f ca="1"/>
        <v>#NAME?</v>
      </c>
      <c r="C66" s="27" t="e">
        <f ca="1"/>
        <v>#NAME?</v>
      </c>
      <c r="D66" s="26" t="e">
        <f ca="1"/>
        <v>#NAME?</v>
      </c>
      <c r="E66" s="27" t="e">
        <f ca="1"/>
        <v>#NAME?</v>
      </c>
      <c r="F66" s="26" t="e">
        <f ca="1"/>
        <v>#NAME?</v>
      </c>
      <c r="G66" s="29" t="e">
        <f ca="1"/>
        <v>#NAME?</v>
      </c>
      <c r="H66" s="29" t="e">
        <f ca="1"/>
        <v>#NAME?</v>
      </c>
      <c r="I66" s="29" t="e">
        <f ca="1"/>
        <v>#NAME?</v>
      </c>
      <c r="J66" s="29" t="e">
        <f ca="1"/>
        <v>#NAME?</v>
      </c>
      <c r="K66" s="29" t="e">
        <f ca="1"/>
        <v>#NAME?</v>
      </c>
      <c r="L66" s="29" t="e">
        <f ca="1"/>
        <v>#NAME?</v>
      </c>
      <c r="M66" s="29" t="e">
        <f ca="1"/>
        <v>#NAME?</v>
      </c>
      <c r="N66" s="29" t="e">
        <f ca="1"/>
        <v>#NAME?</v>
      </c>
      <c r="O66" s="27" t="e">
        <f ca="1"/>
        <v>#NAME?</v>
      </c>
      <c r="Q66" s="8" t="e">
        <f t="shared" ca="1" si="4"/>
        <v>#NAME?</v>
      </c>
      <c r="R66" s="8" t="e">
        <f t="array" aca="1" ref="R66" ca="1">SQRT(MMULT($F66:$O66,MMULT($B$3:$K$12,TRANSPOSE($F66:$O66))))-B66</f>
        <v>#NAME?</v>
      </c>
      <c r="S66" s="8" t="e">
        <f t="shared" ca="1" si="5"/>
        <v>#NAME?</v>
      </c>
      <c r="T66" s="8" t="e">
        <f t="array" aca="1" ref="T66" ca="1">SUM(IF($F66:$O66&lt;TRANSPOSE($O$3:$O$12),ABS($F66:$O66-TRANSPOSE($O$3:$O$12)),"-"))+SUM(IF($F66:$O66&gt;TRANSPOSE($P$3:$P$12),ABS($F66:$O66-TRANSPOSE($P$3:$P$12)),"-"))</f>
        <v>#NAME?</v>
      </c>
      <c r="U66" s="8" t="e">
        <f t="array" aca="1" ref="U66" ca="1">SUM(IF(MMULT($F66:$O66,$B$17:$E$26)&lt;($B$28:$E$28),ABS(MMULT($F66:$O66,$B$17:$E$26)-$B$28:$E$28),"-"))+SUM(IF(MMULT($F66:$O66,$B$17:$E$26)&gt;($B$29:$E$29),(MMULT($F66:$O66,$B$17:$E$26)-$B$29:$E$29),"-"))</f>
        <v>#NAME?</v>
      </c>
      <c r="W66"/>
      <c r="X66"/>
      <c r="Y66"/>
      <c r="Z66"/>
      <c r="AA66"/>
      <c r="AB66"/>
      <c r="AC66"/>
      <c r="AD66"/>
      <c r="AE66"/>
      <c r="AF66"/>
      <c r="AG66"/>
      <c r="AH66"/>
      <c r="AI66"/>
    </row>
    <row r="67" spans="2:35" ht="15" x14ac:dyDescent="0.25">
      <c r="B67" s="26" t="e">
        <f ca="1"/>
        <v>#NAME?</v>
      </c>
      <c r="C67" s="27" t="e">
        <f ca="1"/>
        <v>#NAME?</v>
      </c>
      <c r="D67" s="26" t="e">
        <f ca="1"/>
        <v>#NAME?</v>
      </c>
      <c r="E67" s="27" t="e">
        <f ca="1"/>
        <v>#NAME?</v>
      </c>
      <c r="F67" s="26" t="e">
        <f ca="1"/>
        <v>#NAME?</v>
      </c>
      <c r="G67" s="29" t="e">
        <f ca="1"/>
        <v>#NAME?</v>
      </c>
      <c r="H67" s="29" t="e">
        <f ca="1"/>
        <v>#NAME?</v>
      </c>
      <c r="I67" s="29" t="e">
        <f ca="1"/>
        <v>#NAME?</v>
      </c>
      <c r="J67" s="29" t="e">
        <f ca="1"/>
        <v>#NAME?</v>
      </c>
      <c r="K67" s="29" t="e">
        <f ca="1"/>
        <v>#NAME?</v>
      </c>
      <c r="L67" s="29" t="e">
        <f ca="1"/>
        <v>#NAME?</v>
      </c>
      <c r="M67" s="29" t="e">
        <f ca="1"/>
        <v>#NAME?</v>
      </c>
      <c r="N67" s="29" t="e">
        <f ca="1"/>
        <v>#NAME?</v>
      </c>
      <c r="O67" s="27" t="e">
        <f ca="1"/>
        <v>#NAME?</v>
      </c>
      <c r="Q67" s="8" t="e">
        <f t="shared" ca="1" si="4"/>
        <v>#NAME?</v>
      </c>
      <c r="R67" s="8" t="e">
        <f t="array" aca="1" ref="R67" ca="1">SQRT(MMULT($F67:$O67,MMULT($B$3:$K$12,TRANSPOSE($F67:$O67))))-B67</f>
        <v>#NAME?</v>
      </c>
      <c r="S67" s="8" t="e">
        <f t="shared" ca="1" si="5"/>
        <v>#NAME?</v>
      </c>
      <c r="T67" s="8" t="e">
        <f t="array" aca="1" ref="T67" ca="1">SUM(IF($F67:$O67&lt;TRANSPOSE($O$3:$O$12),ABS($F67:$O67-TRANSPOSE($O$3:$O$12)),"-"))+SUM(IF($F67:$O67&gt;TRANSPOSE($P$3:$P$12),ABS($F67:$O67-TRANSPOSE($P$3:$P$12)),"-"))</f>
        <v>#NAME?</v>
      </c>
      <c r="U67" s="8" t="e">
        <f t="array" aca="1" ref="U67" ca="1">SUM(IF(MMULT($F67:$O67,$B$17:$E$26)&lt;($B$28:$E$28),ABS(MMULT($F67:$O67,$B$17:$E$26)-$B$28:$E$28),"-"))+SUM(IF(MMULT($F67:$O67,$B$17:$E$26)&gt;($B$29:$E$29),(MMULT($F67:$O67,$B$17:$E$26)-$B$29:$E$29),"-"))</f>
        <v>#NAME?</v>
      </c>
      <c r="W67"/>
      <c r="X67"/>
      <c r="Y67"/>
      <c r="Z67"/>
      <c r="AA67"/>
      <c r="AB67"/>
      <c r="AC67"/>
      <c r="AD67"/>
      <c r="AE67"/>
      <c r="AF67"/>
      <c r="AG67"/>
      <c r="AH67"/>
      <c r="AI67"/>
    </row>
    <row r="68" spans="2:35" ht="15" x14ac:dyDescent="0.25">
      <c r="B68" s="26" t="e">
        <f ca="1"/>
        <v>#NAME?</v>
      </c>
      <c r="C68" s="27" t="e">
        <f ca="1"/>
        <v>#NAME?</v>
      </c>
      <c r="D68" s="26" t="e">
        <f ca="1"/>
        <v>#NAME?</v>
      </c>
      <c r="E68" s="27" t="e">
        <f ca="1"/>
        <v>#NAME?</v>
      </c>
      <c r="F68" s="26" t="e">
        <f ca="1"/>
        <v>#NAME?</v>
      </c>
      <c r="G68" s="29" t="e">
        <f ca="1"/>
        <v>#NAME?</v>
      </c>
      <c r="H68" s="29" t="e">
        <f ca="1"/>
        <v>#NAME?</v>
      </c>
      <c r="I68" s="29" t="e">
        <f ca="1"/>
        <v>#NAME?</v>
      </c>
      <c r="J68" s="29" t="e">
        <f ca="1"/>
        <v>#NAME?</v>
      </c>
      <c r="K68" s="29" t="e">
        <f ca="1"/>
        <v>#NAME?</v>
      </c>
      <c r="L68" s="29" t="e">
        <f ca="1"/>
        <v>#NAME?</v>
      </c>
      <c r="M68" s="29" t="e">
        <f ca="1"/>
        <v>#NAME?</v>
      </c>
      <c r="N68" s="29" t="e">
        <f ca="1"/>
        <v>#NAME?</v>
      </c>
      <c r="O68" s="27" t="e">
        <f ca="1"/>
        <v>#NAME?</v>
      </c>
      <c r="Q68" s="8" t="e">
        <f t="shared" ca="1" si="4"/>
        <v>#NAME?</v>
      </c>
      <c r="R68" s="8" t="e">
        <f t="array" aca="1" ref="R68" ca="1">SQRT(MMULT($F68:$O68,MMULT($B$3:$K$12,TRANSPOSE($F68:$O68))))-B68</f>
        <v>#NAME?</v>
      </c>
      <c r="S68" s="8" t="e">
        <f t="shared" ca="1" si="5"/>
        <v>#NAME?</v>
      </c>
      <c r="T68" s="8" t="e">
        <f t="array" aca="1" ref="T68" ca="1">SUM(IF($F68:$O68&lt;TRANSPOSE($O$3:$O$12),ABS($F68:$O68-TRANSPOSE($O$3:$O$12)),"-"))+SUM(IF($F68:$O68&gt;TRANSPOSE($P$3:$P$12),ABS($F68:$O68-TRANSPOSE($P$3:$P$12)),"-"))</f>
        <v>#NAME?</v>
      </c>
      <c r="U68" s="8" t="e">
        <f t="array" aca="1" ref="U68" ca="1">SUM(IF(MMULT($F68:$O68,$B$17:$E$26)&lt;($B$28:$E$28),ABS(MMULT($F68:$O68,$B$17:$E$26)-$B$28:$E$28),"-"))+SUM(IF(MMULT($F68:$O68,$B$17:$E$26)&gt;($B$29:$E$29),(MMULT($F68:$O68,$B$17:$E$26)-$B$29:$E$29),"-"))</f>
        <v>#NAME?</v>
      </c>
      <c r="W68"/>
      <c r="X68"/>
      <c r="Y68"/>
      <c r="Z68"/>
      <c r="AA68"/>
      <c r="AB68"/>
      <c r="AC68"/>
      <c r="AD68"/>
      <c r="AE68"/>
      <c r="AF68"/>
      <c r="AG68"/>
      <c r="AH68"/>
      <c r="AI68"/>
    </row>
    <row r="69" spans="2:35" ht="15" x14ac:dyDescent="0.25">
      <c r="B69" s="26" t="e">
        <f ca="1"/>
        <v>#NAME?</v>
      </c>
      <c r="C69" s="27" t="e">
        <f ca="1"/>
        <v>#NAME?</v>
      </c>
      <c r="D69" s="26" t="e">
        <f ca="1"/>
        <v>#NAME?</v>
      </c>
      <c r="E69" s="27" t="e">
        <f ca="1"/>
        <v>#NAME?</v>
      </c>
      <c r="F69" s="26" t="e">
        <f ca="1"/>
        <v>#NAME?</v>
      </c>
      <c r="G69" s="29" t="e">
        <f ca="1"/>
        <v>#NAME?</v>
      </c>
      <c r="H69" s="29" t="e">
        <f ca="1"/>
        <v>#NAME?</v>
      </c>
      <c r="I69" s="29" t="e">
        <f ca="1"/>
        <v>#NAME?</v>
      </c>
      <c r="J69" s="29" t="e">
        <f ca="1"/>
        <v>#NAME?</v>
      </c>
      <c r="K69" s="29" t="e">
        <f ca="1"/>
        <v>#NAME?</v>
      </c>
      <c r="L69" s="29" t="e">
        <f ca="1"/>
        <v>#NAME?</v>
      </c>
      <c r="M69" s="29" t="e">
        <f ca="1"/>
        <v>#NAME?</v>
      </c>
      <c r="N69" s="29" t="e">
        <f ca="1"/>
        <v>#NAME?</v>
      </c>
      <c r="O69" s="27" t="e">
        <f ca="1"/>
        <v>#NAME?</v>
      </c>
      <c r="Q69" s="8" t="e">
        <f t="shared" ca="1" si="4"/>
        <v>#NAME?</v>
      </c>
      <c r="R69" s="8" t="e">
        <f t="array" aca="1" ref="R69" ca="1">SQRT(MMULT($F69:$O69,MMULT($B$3:$K$12,TRANSPOSE($F69:$O69))))-B69</f>
        <v>#NAME?</v>
      </c>
      <c r="S69" s="8" t="e">
        <f t="shared" ca="1" si="5"/>
        <v>#NAME?</v>
      </c>
      <c r="T69" s="8" t="e">
        <f t="array" aca="1" ref="T69" ca="1">SUM(IF($F69:$O69&lt;TRANSPOSE($O$3:$O$12),ABS($F69:$O69-TRANSPOSE($O$3:$O$12)),"-"))+SUM(IF($F69:$O69&gt;TRANSPOSE($P$3:$P$12),ABS($F69:$O69-TRANSPOSE($P$3:$P$12)),"-"))</f>
        <v>#NAME?</v>
      </c>
      <c r="U69" s="8" t="e">
        <f t="array" aca="1" ref="U69" ca="1">SUM(IF(MMULT($F69:$O69,$B$17:$E$26)&lt;($B$28:$E$28),ABS(MMULT($F69:$O69,$B$17:$E$26)-$B$28:$E$28),"-"))+SUM(IF(MMULT($F69:$O69,$B$17:$E$26)&gt;($B$29:$E$29),(MMULT($F69:$O69,$B$17:$E$26)-$B$29:$E$29),"-"))</f>
        <v>#NAME?</v>
      </c>
      <c r="W69"/>
      <c r="X69"/>
      <c r="Y69"/>
      <c r="Z69"/>
      <c r="AA69"/>
      <c r="AB69"/>
      <c r="AC69"/>
      <c r="AD69"/>
      <c r="AE69"/>
      <c r="AF69"/>
      <c r="AG69"/>
      <c r="AH69"/>
      <c r="AI69"/>
    </row>
    <row r="70" spans="2:35" ht="15" x14ac:dyDescent="0.25">
      <c r="B70" s="26" t="e">
        <f ca="1"/>
        <v>#NAME?</v>
      </c>
      <c r="C70" s="27" t="e">
        <f ca="1"/>
        <v>#NAME?</v>
      </c>
      <c r="D70" s="26" t="e">
        <f ca="1"/>
        <v>#NAME?</v>
      </c>
      <c r="E70" s="27" t="e">
        <f ca="1"/>
        <v>#NAME?</v>
      </c>
      <c r="F70" s="26" t="e">
        <f ca="1"/>
        <v>#NAME?</v>
      </c>
      <c r="G70" s="29" t="e">
        <f ca="1"/>
        <v>#NAME?</v>
      </c>
      <c r="H70" s="29" t="e">
        <f ca="1"/>
        <v>#NAME?</v>
      </c>
      <c r="I70" s="29" t="e">
        <f ca="1"/>
        <v>#NAME?</v>
      </c>
      <c r="J70" s="29" t="e">
        <f ca="1"/>
        <v>#NAME?</v>
      </c>
      <c r="K70" s="29" t="e">
        <f ca="1"/>
        <v>#NAME?</v>
      </c>
      <c r="L70" s="29" t="e">
        <f ca="1"/>
        <v>#NAME?</v>
      </c>
      <c r="M70" s="29" t="e">
        <f ca="1"/>
        <v>#NAME?</v>
      </c>
      <c r="N70" s="29" t="e">
        <f ca="1"/>
        <v>#NAME?</v>
      </c>
      <c r="O70" s="27" t="e">
        <f ca="1"/>
        <v>#NAME?</v>
      </c>
      <c r="Q70" s="8" t="e">
        <f t="shared" ca="1" si="4"/>
        <v>#NAME?</v>
      </c>
      <c r="R70" s="8" t="e">
        <f t="array" aca="1" ref="R70" ca="1">SQRT(MMULT($F70:$O70,MMULT($B$3:$K$12,TRANSPOSE($F70:$O70))))-B70</f>
        <v>#NAME?</v>
      </c>
      <c r="S70" s="8" t="e">
        <f t="shared" ca="1" si="5"/>
        <v>#NAME?</v>
      </c>
      <c r="T70" s="8" t="e">
        <f t="array" aca="1" ref="T70" ca="1">SUM(IF($F70:$O70&lt;TRANSPOSE($O$3:$O$12),ABS($F70:$O70-TRANSPOSE($O$3:$O$12)),"-"))+SUM(IF($F70:$O70&gt;TRANSPOSE($P$3:$P$12),ABS($F70:$O70-TRANSPOSE($P$3:$P$12)),"-"))</f>
        <v>#NAME?</v>
      </c>
      <c r="U70" s="8" t="e">
        <f t="array" aca="1" ref="U70" ca="1">SUM(IF(MMULT($F70:$O70,$B$17:$E$26)&lt;($B$28:$E$28),ABS(MMULT($F70:$O70,$B$17:$E$26)-$B$28:$E$28),"-"))+SUM(IF(MMULT($F70:$O70,$B$17:$E$26)&gt;($B$29:$E$29),(MMULT($F70:$O70,$B$17:$E$26)-$B$29:$E$29),"-"))</f>
        <v>#NAME?</v>
      </c>
      <c r="W70"/>
      <c r="X70"/>
      <c r="Y70"/>
      <c r="Z70"/>
      <c r="AA70"/>
      <c r="AB70"/>
      <c r="AC70"/>
      <c r="AD70"/>
      <c r="AE70"/>
      <c r="AF70"/>
      <c r="AG70"/>
      <c r="AH70"/>
      <c r="AI70"/>
    </row>
    <row r="71" spans="2:35" ht="15" x14ac:dyDescent="0.25">
      <c r="B71" s="26" t="e">
        <f ca="1"/>
        <v>#NAME?</v>
      </c>
      <c r="C71" s="27" t="e">
        <f ca="1"/>
        <v>#NAME?</v>
      </c>
      <c r="D71" s="26" t="e">
        <f ca="1"/>
        <v>#NAME?</v>
      </c>
      <c r="E71" s="27" t="e">
        <f ca="1"/>
        <v>#NAME?</v>
      </c>
      <c r="F71" s="26" t="e">
        <f ca="1"/>
        <v>#NAME?</v>
      </c>
      <c r="G71" s="29" t="e">
        <f ca="1"/>
        <v>#NAME?</v>
      </c>
      <c r="H71" s="29" t="e">
        <f ca="1"/>
        <v>#NAME?</v>
      </c>
      <c r="I71" s="29" t="e">
        <f ca="1"/>
        <v>#NAME?</v>
      </c>
      <c r="J71" s="29" t="e">
        <f ca="1"/>
        <v>#NAME?</v>
      </c>
      <c r="K71" s="29" t="e">
        <f ca="1"/>
        <v>#NAME?</v>
      </c>
      <c r="L71" s="29" t="e">
        <f ca="1"/>
        <v>#NAME?</v>
      </c>
      <c r="M71" s="29" t="e">
        <f ca="1"/>
        <v>#NAME?</v>
      </c>
      <c r="N71" s="29" t="e">
        <f ca="1"/>
        <v>#NAME?</v>
      </c>
      <c r="O71" s="27" t="e">
        <f ca="1"/>
        <v>#NAME?</v>
      </c>
      <c r="Q71" s="8" t="e">
        <f t="shared" ca="1" si="4"/>
        <v>#NAME?</v>
      </c>
      <c r="R71" s="8" t="e">
        <f t="array" aca="1" ref="R71" ca="1">SQRT(MMULT($F71:$O71,MMULT($B$3:$K$12,TRANSPOSE($F71:$O71))))-B71</f>
        <v>#NAME?</v>
      </c>
      <c r="S71" s="8" t="e">
        <f t="shared" ca="1" si="5"/>
        <v>#NAME?</v>
      </c>
      <c r="T71" s="8" t="e">
        <f t="array" aca="1" ref="T71" ca="1">SUM(IF($F71:$O71&lt;TRANSPOSE($O$3:$O$12),ABS($F71:$O71-TRANSPOSE($O$3:$O$12)),"-"))+SUM(IF($F71:$O71&gt;TRANSPOSE($P$3:$P$12),ABS($F71:$O71-TRANSPOSE($P$3:$P$12)),"-"))</f>
        <v>#NAME?</v>
      </c>
      <c r="U71" s="8" t="e">
        <f t="array" aca="1" ref="U71" ca="1">SUM(IF(MMULT($F71:$O71,$B$17:$E$26)&lt;($B$28:$E$28),ABS(MMULT($F71:$O71,$B$17:$E$26)-$B$28:$E$28),"-"))+SUM(IF(MMULT($F71:$O71,$B$17:$E$26)&gt;($B$29:$E$29),(MMULT($F71:$O71,$B$17:$E$26)-$B$29:$E$29),"-"))</f>
        <v>#NAME?</v>
      </c>
      <c r="W71"/>
      <c r="X71"/>
      <c r="Y71"/>
      <c r="Z71"/>
      <c r="AA71"/>
      <c r="AB71"/>
      <c r="AC71"/>
      <c r="AD71"/>
      <c r="AE71"/>
      <c r="AF71"/>
      <c r="AG71"/>
      <c r="AH71"/>
      <c r="AI71"/>
    </row>
    <row r="72" spans="2:35" ht="15" x14ac:dyDescent="0.25">
      <c r="B72" s="26" t="e">
        <f ca="1"/>
        <v>#NAME?</v>
      </c>
      <c r="C72" s="27" t="e">
        <f ca="1"/>
        <v>#NAME?</v>
      </c>
      <c r="D72" s="26" t="e">
        <f ca="1"/>
        <v>#NAME?</v>
      </c>
      <c r="E72" s="27" t="e">
        <f ca="1"/>
        <v>#NAME?</v>
      </c>
      <c r="F72" s="26" t="e">
        <f ca="1"/>
        <v>#NAME?</v>
      </c>
      <c r="G72" s="29" t="e">
        <f ca="1"/>
        <v>#NAME?</v>
      </c>
      <c r="H72" s="29" t="e">
        <f ca="1"/>
        <v>#NAME?</v>
      </c>
      <c r="I72" s="29" t="e">
        <f ca="1"/>
        <v>#NAME?</v>
      </c>
      <c r="J72" s="29" t="e">
        <f ca="1"/>
        <v>#NAME?</v>
      </c>
      <c r="K72" s="29" t="e">
        <f ca="1"/>
        <v>#NAME?</v>
      </c>
      <c r="L72" s="29" t="e">
        <f ca="1"/>
        <v>#NAME?</v>
      </c>
      <c r="M72" s="29" t="e">
        <f ca="1"/>
        <v>#NAME?</v>
      </c>
      <c r="N72" s="29" t="e">
        <f ca="1"/>
        <v>#NAME?</v>
      </c>
      <c r="O72" s="27" t="e">
        <f ca="1"/>
        <v>#NAME?</v>
      </c>
      <c r="Q72" s="8" t="e">
        <f t="shared" ca="1" si="4"/>
        <v>#NAME?</v>
      </c>
      <c r="R72" s="8" t="e">
        <f t="array" aca="1" ref="R72" ca="1">SQRT(MMULT($F72:$O72,MMULT($B$3:$K$12,TRANSPOSE($F72:$O72))))-B72</f>
        <v>#NAME?</v>
      </c>
      <c r="S72" s="8" t="e">
        <f t="shared" ca="1" si="5"/>
        <v>#NAME?</v>
      </c>
      <c r="T72" s="8" t="e">
        <f t="array" aca="1" ref="T72" ca="1">SUM(IF($F72:$O72&lt;TRANSPOSE($O$3:$O$12),ABS($F72:$O72-TRANSPOSE($O$3:$O$12)),"-"))+SUM(IF($F72:$O72&gt;TRANSPOSE($P$3:$P$12),ABS($F72:$O72-TRANSPOSE($P$3:$P$12)),"-"))</f>
        <v>#NAME?</v>
      </c>
      <c r="U72" s="8" t="e">
        <f t="array" aca="1" ref="U72" ca="1">SUM(IF(MMULT($F72:$O72,$B$17:$E$26)&lt;($B$28:$E$28),ABS(MMULT($F72:$O72,$B$17:$E$26)-$B$28:$E$28),"-"))+SUM(IF(MMULT($F72:$O72,$B$17:$E$26)&gt;($B$29:$E$29),(MMULT($F72:$O72,$B$17:$E$26)-$B$29:$E$29),"-"))</f>
        <v>#NAME?</v>
      </c>
      <c r="W72"/>
      <c r="X72"/>
      <c r="Y72"/>
      <c r="Z72"/>
      <c r="AA72"/>
      <c r="AB72"/>
      <c r="AC72"/>
      <c r="AD72"/>
      <c r="AE72"/>
      <c r="AF72"/>
      <c r="AG72"/>
      <c r="AH72"/>
      <c r="AI72"/>
    </row>
    <row r="73" spans="2:35" ht="15" x14ac:dyDescent="0.25">
      <c r="B73" s="26" t="e">
        <f ca="1"/>
        <v>#NAME?</v>
      </c>
      <c r="C73" s="27" t="e">
        <f ca="1"/>
        <v>#NAME?</v>
      </c>
      <c r="D73" s="26" t="e">
        <f ca="1"/>
        <v>#NAME?</v>
      </c>
      <c r="E73" s="27" t="e">
        <f ca="1"/>
        <v>#NAME?</v>
      </c>
      <c r="F73" s="26" t="e">
        <f ca="1"/>
        <v>#NAME?</v>
      </c>
      <c r="G73" s="29" t="e">
        <f ca="1"/>
        <v>#NAME?</v>
      </c>
      <c r="H73" s="29" t="e">
        <f ca="1"/>
        <v>#NAME?</v>
      </c>
      <c r="I73" s="29" t="e">
        <f ca="1"/>
        <v>#NAME?</v>
      </c>
      <c r="J73" s="29" t="e">
        <f ca="1"/>
        <v>#NAME?</v>
      </c>
      <c r="K73" s="29" t="e">
        <f ca="1"/>
        <v>#NAME?</v>
      </c>
      <c r="L73" s="29" t="e">
        <f ca="1"/>
        <v>#NAME?</v>
      </c>
      <c r="M73" s="29" t="e">
        <f ca="1"/>
        <v>#NAME?</v>
      </c>
      <c r="N73" s="29" t="e">
        <f ca="1"/>
        <v>#NAME?</v>
      </c>
      <c r="O73" s="27" t="e">
        <f ca="1"/>
        <v>#NAME?</v>
      </c>
      <c r="Q73" s="8" t="e">
        <f t="shared" ca="1" si="4"/>
        <v>#NAME?</v>
      </c>
      <c r="R73" s="8" t="e">
        <f t="array" aca="1" ref="R73" ca="1">SQRT(MMULT($F73:$O73,MMULT($B$3:$K$12,TRANSPOSE($F73:$O73))))-B73</f>
        <v>#NAME?</v>
      </c>
      <c r="S73" s="8" t="e">
        <f t="shared" ca="1" si="5"/>
        <v>#NAME?</v>
      </c>
      <c r="T73" s="8" t="e">
        <f t="array" aca="1" ref="T73" ca="1">SUM(IF($F73:$O73&lt;TRANSPOSE($O$3:$O$12),ABS($F73:$O73-TRANSPOSE($O$3:$O$12)),"-"))+SUM(IF($F73:$O73&gt;TRANSPOSE($P$3:$P$12),ABS($F73:$O73-TRANSPOSE($P$3:$P$12)),"-"))</f>
        <v>#NAME?</v>
      </c>
      <c r="U73" s="8" t="e">
        <f t="array" aca="1" ref="U73" ca="1">SUM(IF(MMULT($F73:$O73,$B$17:$E$26)&lt;($B$28:$E$28),ABS(MMULT($F73:$O73,$B$17:$E$26)-$B$28:$E$28),"-"))+SUM(IF(MMULT($F73:$O73,$B$17:$E$26)&gt;($B$29:$E$29),(MMULT($F73:$O73,$B$17:$E$26)-$B$29:$E$29),"-"))</f>
        <v>#NAME?</v>
      </c>
      <c r="W73"/>
      <c r="X73"/>
      <c r="Y73"/>
      <c r="Z73"/>
      <c r="AA73"/>
      <c r="AB73"/>
      <c r="AC73"/>
      <c r="AD73"/>
      <c r="AE73"/>
      <c r="AF73"/>
      <c r="AG73"/>
      <c r="AH73"/>
      <c r="AI73"/>
    </row>
    <row r="74" spans="2:35" ht="15" x14ac:dyDescent="0.25">
      <c r="B74" s="26" t="e">
        <f ca="1"/>
        <v>#NAME?</v>
      </c>
      <c r="C74" s="27" t="e">
        <f ca="1"/>
        <v>#NAME?</v>
      </c>
      <c r="D74" s="26" t="e">
        <f ca="1"/>
        <v>#NAME?</v>
      </c>
      <c r="E74" s="27" t="e">
        <f ca="1"/>
        <v>#NAME?</v>
      </c>
      <c r="F74" s="26" t="e">
        <f ca="1"/>
        <v>#NAME?</v>
      </c>
      <c r="G74" s="29" t="e">
        <f ca="1"/>
        <v>#NAME?</v>
      </c>
      <c r="H74" s="29" t="e">
        <f ca="1"/>
        <v>#NAME?</v>
      </c>
      <c r="I74" s="29" t="e">
        <f ca="1"/>
        <v>#NAME?</v>
      </c>
      <c r="J74" s="29" t="e">
        <f ca="1"/>
        <v>#NAME?</v>
      </c>
      <c r="K74" s="29" t="e">
        <f ca="1"/>
        <v>#NAME?</v>
      </c>
      <c r="L74" s="29" t="e">
        <f ca="1"/>
        <v>#NAME?</v>
      </c>
      <c r="M74" s="29" t="e">
        <f ca="1"/>
        <v>#NAME?</v>
      </c>
      <c r="N74" s="29" t="e">
        <f ca="1"/>
        <v>#NAME?</v>
      </c>
      <c r="O74" s="27" t="e">
        <f ca="1"/>
        <v>#NAME?</v>
      </c>
      <c r="Q74" s="8" t="e">
        <f t="shared" ca="1" si="4"/>
        <v>#NAME?</v>
      </c>
      <c r="R74" s="8" t="e">
        <f t="array" aca="1" ref="R74" ca="1">SQRT(MMULT($F74:$O74,MMULT($B$3:$K$12,TRANSPOSE($F74:$O74))))-B74</f>
        <v>#NAME?</v>
      </c>
      <c r="S74" s="8" t="e">
        <f t="shared" ca="1" si="5"/>
        <v>#NAME?</v>
      </c>
      <c r="T74" s="8" t="e">
        <f t="array" aca="1" ref="T74" ca="1">SUM(IF($F74:$O74&lt;TRANSPOSE($O$3:$O$12),ABS($F74:$O74-TRANSPOSE($O$3:$O$12)),"-"))+SUM(IF($F74:$O74&gt;TRANSPOSE($P$3:$P$12),ABS($F74:$O74-TRANSPOSE($P$3:$P$12)),"-"))</f>
        <v>#NAME?</v>
      </c>
      <c r="U74" s="8" t="e">
        <f t="array" aca="1" ref="U74" ca="1">SUM(IF(MMULT($F74:$O74,$B$17:$E$26)&lt;($B$28:$E$28),ABS(MMULT($F74:$O74,$B$17:$E$26)-$B$28:$E$28),"-"))+SUM(IF(MMULT($F74:$O74,$B$17:$E$26)&gt;($B$29:$E$29),(MMULT($F74:$O74,$B$17:$E$26)-$B$29:$E$29),"-"))</f>
        <v>#NAME?</v>
      </c>
      <c r="W74"/>
      <c r="X74"/>
      <c r="Y74"/>
      <c r="Z74"/>
      <c r="AA74"/>
      <c r="AB74"/>
      <c r="AC74"/>
      <c r="AD74"/>
      <c r="AE74"/>
      <c r="AF74"/>
      <c r="AG74"/>
      <c r="AH74"/>
      <c r="AI74"/>
    </row>
    <row r="75" spans="2:35" ht="15" x14ac:dyDescent="0.25">
      <c r="B75" s="26" t="e">
        <f ca="1"/>
        <v>#NAME?</v>
      </c>
      <c r="C75" s="27" t="e">
        <f ca="1"/>
        <v>#NAME?</v>
      </c>
      <c r="D75" s="26" t="e">
        <f ca="1"/>
        <v>#NAME?</v>
      </c>
      <c r="E75" s="27" t="e">
        <f ca="1"/>
        <v>#NAME?</v>
      </c>
      <c r="F75" s="26" t="e">
        <f ca="1"/>
        <v>#NAME?</v>
      </c>
      <c r="G75" s="29" t="e">
        <f ca="1"/>
        <v>#NAME?</v>
      </c>
      <c r="H75" s="29" t="e">
        <f ca="1"/>
        <v>#NAME?</v>
      </c>
      <c r="I75" s="29" t="e">
        <f ca="1"/>
        <v>#NAME?</v>
      </c>
      <c r="J75" s="29" t="e">
        <f ca="1"/>
        <v>#NAME?</v>
      </c>
      <c r="K75" s="29" t="e">
        <f ca="1"/>
        <v>#NAME?</v>
      </c>
      <c r="L75" s="29" t="e">
        <f ca="1"/>
        <v>#NAME?</v>
      </c>
      <c r="M75" s="29" t="e">
        <f ca="1"/>
        <v>#NAME?</v>
      </c>
      <c r="N75" s="29" t="e">
        <f ca="1"/>
        <v>#NAME?</v>
      </c>
      <c r="O75" s="27" t="e">
        <f ca="1"/>
        <v>#NAME?</v>
      </c>
      <c r="Q75" s="8" t="e">
        <f t="shared" ca="1" si="4"/>
        <v>#NAME?</v>
      </c>
      <c r="R75" s="8" t="e">
        <f t="array" aca="1" ref="R75" ca="1">SQRT(MMULT($F75:$O75,MMULT($B$3:$K$12,TRANSPOSE($F75:$O75))))-B75</f>
        <v>#NAME?</v>
      </c>
      <c r="S75" s="8" t="e">
        <f t="shared" ca="1" si="5"/>
        <v>#NAME?</v>
      </c>
      <c r="T75" s="8" t="e">
        <f t="array" aca="1" ref="T75" ca="1">SUM(IF($F75:$O75&lt;TRANSPOSE($O$3:$O$12),ABS($F75:$O75-TRANSPOSE($O$3:$O$12)),"-"))+SUM(IF($F75:$O75&gt;TRANSPOSE($P$3:$P$12),ABS($F75:$O75-TRANSPOSE($P$3:$P$12)),"-"))</f>
        <v>#NAME?</v>
      </c>
      <c r="U75" s="8" t="e">
        <f t="array" aca="1" ref="U75" ca="1">SUM(IF(MMULT($F75:$O75,$B$17:$E$26)&lt;($B$28:$E$28),ABS(MMULT($F75:$O75,$B$17:$E$26)-$B$28:$E$28),"-"))+SUM(IF(MMULT($F75:$O75,$B$17:$E$26)&gt;($B$29:$E$29),(MMULT($F75:$O75,$B$17:$E$26)-$B$29:$E$29),"-"))</f>
        <v>#NAME?</v>
      </c>
      <c r="W75"/>
      <c r="X75"/>
      <c r="Y75"/>
      <c r="Z75"/>
      <c r="AA75"/>
      <c r="AB75"/>
      <c r="AC75"/>
      <c r="AD75"/>
      <c r="AE75"/>
      <c r="AF75"/>
      <c r="AG75"/>
      <c r="AH75"/>
      <c r="AI75"/>
    </row>
    <row r="76" spans="2:35" ht="15" x14ac:dyDescent="0.25">
      <c r="B76" s="26" t="e">
        <f ca="1"/>
        <v>#NAME?</v>
      </c>
      <c r="C76" s="27" t="e">
        <f ca="1"/>
        <v>#NAME?</v>
      </c>
      <c r="D76" s="26" t="e">
        <f ca="1"/>
        <v>#NAME?</v>
      </c>
      <c r="E76" s="27" t="e">
        <f ca="1"/>
        <v>#NAME?</v>
      </c>
      <c r="F76" s="26" t="e">
        <f ca="1"/>
        <v>#NAME?</v>
      </c>
      <c r="G76" s="29" t="e">
        <f ca="1"/>
        <v>#NAME?</v>
      </c>
      <c r="H76" s="29" t="e">
        <f ca="1"/>
        <v>#NAME?</v>
      </c>
      <c r="I76" s="29" t="e">
        <f ca="1"/>
        <v>#NAME?</v>
      </c>
      <c r="J76" s="29" t="e">
        <f ca="1"/>
        <v>#NAME?</v>
      </c>
      <c r="K76" s="29" t="e">
        <f ca="1"/>
        <v>#NAME?</v>
      </c>
      <c r="L76" s="29" t="e">
        <f ca="1"/>
        <v>#NAME?</v>
      </c>
      <c r="M76" s="29" t="e">
        <f ca="1"/>
        <v>#NAME?</v>
      </c>
      <c r="N76" s="29" t="e">
        <f ca="1"/>
        <v>#NAME?</v>
      </c>
      <c r="O76" s="27" t="e">
        <f ca="1"/>
        <v>#NAME?</v>
      </c>
      <c r="Q76" s="8" t="e">
        <f t="shared" ca="1" si="4"/>
        <v>#NAME?</v>
      </c>
      <c r="R76" s="8" t="e">
        <f t="array" aca="1" ref="R76" ca="1">SQRT(MMULT($F76:$O76,MMULT($B$3:$K$12,TRANSPOSE($F76:$O76))))-B76</f>
        <v>#NAME?</v>
      </c>
      <c r="S76" s="8" t="e">
        <f t="shared" ca="1" si="5"/>
        <v>#NAME?</v>
      </c>
      <c r="T76" s="8" t="e">
        <f t="array" aca="1" ref="T76" ca="1">SUM(IF($F76:$O76&lt;TRANSPOSE($O$3:$O$12),ABS($F76:$O76-TRANSPOSE($O$3:$O$12)),"-"))+SUM(IF($F76:$O76&gt;TRANSPOSE($P$3:$P$12),ABS($F76:$O76-TRANSPOSE($P$3:$P$12)),"-"))</f>
        <v>#NAME?</v>
      </c>
      <c r="U76" s="8" t="e">
        <f t="array" aca="1" ref="U76" ca="1">SUM(IF(MMULT($F76:$O76,$B$17:$E$26)&lt;($B$28:$E$28),ABS(MMULT($F76:$O76,$B$17:$E$26)-$B$28:$E$28),"-"))+SUM(IF(MMULT($F76:$O76,$B$17:$E$26)&gt;($B$29:$E$29),(MMULT($F76:$O76,$B$17:$E$26)-$B$29:$E$29),"-"))</f>
        <v>#NAME?</v>
      </c>
      <c r="W76"/>
      <c r="X76"/>
      <c r="Y76"/>
      <c r="Z76"/>
      <c r="AA76"/>
      <c r="AB76"/>
      <c r="AC76"/>
      <c r="AD76"/>
      <c r="AE76"/>
      <c r="AF76"/>
      <c r="AG76"/>
      <c r="AH76"/>
      <c r="AI76"/>
    </row>
    <row r="77" spans="2:35" ht="15" x14ac:dyDescent="0.25">
      <c r="B77" s="26" t="e">
        <f ca="1"/>
        <v>#NAME?</v>
      </c>
      <c r="C77" s="27" t="e">
        <f ca="1"/>
        <v>#NAME?</v>
      </c>
      <c r="D77" s="26" t="e">
        <f ca="1"/>
        <v>#NAME?</v>
      </c>
      <c r="E77" s="27" t="e">
        <f ca="1"/>
        <v>#NAME?</v>
      </c>
      <c r="F77" s="26" t="e">
        <f ca="1"/>
        <v>#NAME?</v>
      </c>
      <c r="G77" s="29" t="e">
        <f ca="1"/>
        <v>#NAME?</v>
      </c>
      <c r="H77" s="29" t="e">
        <f ca="1"/>
        <v>#NAME?</v>
      </c>
      <c r="I77" s="29" t="e">
        <f ca="1"/>
        <v>#NAME?</v>
      </c>
      <c r="J77" s="29" t="e">
        <f ca="1"/>
        <v>#NAME?</v>
      </c>
      <c r="K77" s="29" t="e">
        <f ca="1"/>
        <v>#NAME?</v>
      </c>
      <c r="L77" s="29" t="e">
        <f ca="1"/>
        <v>#NAME?</v>
      </c>
      <c r="M77" s="29" t="e">
        <f ca="1"/>
        <v>#NAME?</v>
      </c>
      <c r="N77" s="29" t="e">
        <f ca="1"/>
        <v>#NAME?</v>
      </c>
      <c r="O77" s="27" t="e">
        <f ca="1"/>
        <v>#NAME?</v>
      </c>
      <c r="Q77" s="8" t="e">
        <f t="shared" ca="1" si="4"/>
        <v>#NAME?</v>
      </c>
      <c r="R77" s="8" t="e">
        <f t="array" aca="1" ref="R77" ca="1">SQRT(MMULT($F77:$O77,MMULT($B$3:$K$12,TRANSPOSE($F77:$O77))))-B77</f>
        <v>#NAME?</v>
      </c>
      <c r="S77" s="8" t="e">
        <f t="shared" ca="1" si="5"/>
        <v>#NAME?</v>
      </c>
      <c r="T77" s="8" t="e">
        <f t="array" aca="1" ref="T77" ca="1">SUM(IF($F77:$O77&lt;TRANSPOSE($O$3:$O$12),ABS($F77:$O77-TRANSPOSE($O$3:$O$12)),"-"))+SUM(IF($F77:$O77&gt;TRANSPOSE($P$3:$P$12),ABS($F77:$O77-TRANSPOSE($P$3:$P$12)),"-"))</f>
        <v>#NAME?</v>
      </c>
      <c r="U77" s="8" t="e">
        <f t="array" aca="1" ref="U77" ca="1">SUM(IF(MMULT($F77:$O77,$B$17:$E$26)&lt;($B$28:$E$28),ABS(MMULT($F77:$O77,$B$17:$E$26)-$B$28:$E$28),"-"))+SUM(IF(MMULT($F77:$O77,$B$17:$E$26)&gt;($B$29:$E$29),(MMULT($F77:$O77,$B$17:$E$26)-$B$29:$E$29),"-"))</f>
        <v>#NAME?</v>
      </c>
      <c r="W77"/>
      <c r="X77"/>
      <c r="Y77"/>
      <c r="Z77"/>
      <c r="AA77"/>
      <c r="AB77"/>
      <c r="AC77"/>
      <c r="AD77"/>
      <c r="AE77"/>
      <c r="AF77"/>
      <c r="AG77"/>
      <c r="AH77"/>
      <c r="AI77"/>
    </row>
    <row r="78" spans="2:35" ht="15" x14ac:dyDescent="0.25">
      <c r="B78" s="26" t="e">
        <f ca="1"/>
        <v>#NAME?</v>
      </c>
      <c r="C78" s="27" t="e">
        <f ca="1"/>
        <v>#NAME?</v>
      </c>
      <c r="D78" s="26" t="e">
        <f ca="1"/>
        <v>#NAME?</v>
      </c>
      <c r="E78" s="27" t="e">
        <f ca="1"/>
        <v>#NAME?</v>
      </c>
      <c r="F78" s="26" t="e">
        <f ca="1"/>
        <v>#NAME?</v>
      </c>
      <c r="G78" s="29" t="e">
        <f ca="1"/>
        <v>#NAME?</v>
      </c>
      <c r="H78" s="29" t="e">
        <f ca="1"/>
        <v>#NAME?</v>
      </c>
      <c r="I78" s="29" t="e">
        <f ca="1"/>
        <v>#NAME?</v>
      </c>
      <c r="J78" s="29" t="e">
        <f ca="1"/>
        <v>#NAME?</v>
      </c>
      <c r="K78" s="29" t="e">
        <f ca="1"/>
        <v>#NAME?</v>
      </c>
      <c r="L78" s="29" t="e">
        <f ca="1"/>
        <v>#NAME?</v>
      </c>
      <c r="M78" s="29" t="e">
        <f ca="1"/>
        <v>#NAME?</v>
      </c>
      <c r="N78" s="29" t="e">
        <f ca="1"/>
        <v>#NAME?</v>
      </c>
      <c r="O78" s="27" t="e">
        <f ca="1"/>
        <v>#NAME?</v>
      </c>
      <c r="Q78" s="8" t="e">
        <f t="shared" ca="1" si="4"/>
        <v>#NAME?</v>
      </c>
      <c r="R78" s="8" t="e">
        <f t="array" aca="1" ref="R78" ca="1">SQRT(MMULT($F78:$O78,MMULT($B$3:$K$12,TRANSPOSE($F78:$O78))))-B78</f>
        <v>#NAME?</v>
      </c>
      <c r="S78" s="8" t="e">
        <f t="shared" ca="1" si="5"/>
        <v>#NAME?</v>
      </c>
      <c r="T78" s="8" t="e">
        <f t="array" aca="1" ref="T78" ca="1">SUM(IF($F78:$O78&lt;TRANSPOSE($O$3:$O$12),ABS($F78:$O78-TRANSPOSE($O$3:$O$12)),"-"))+SUM(IF($F78:$O78&gt;TRANSPOSE($P$3:$P$12),ABS($F78:$O78-TRANSPOSE($P$3:$P$12)),"-"))</f>
        <v>#NAME?</v>
      </c>
      <c r="U78" s="8" t="e">
        <f t="array" aca="1" ref="U78" ca="1">SUM(IF(MMULT($F78:$O78,$B$17:$E$26)&lt;($B$28:$E$28),ABS(MMULT($F78:$O78,$B$17:$E$26)-$B$28:$E$28),"-"))+SUM(IF(MMULT($F78:$O78,$B$17:$E$26)&gt;($B$29:$E$29),(MMULT($F78:$O78,$B$17:$E$26)-$B$29:$E$29),"-"))</f>
        <v>#NAME?</v>
      </c>
      <c r="W78"/>
      <c r="X78"/>
      <c r="Y78"/>
      <c r="Z78"/>
      <c r="AA78"/>
      <c r="AB78"/>
      <c r="AC78"/>
      <c r="AD78"/>
      <c r="AE78"/>
      <c r="AF78"/>
      <c r="AG78"/>
      <c r="AH78"/>
      <c r="AI78"/>
    </row>
    <row r="79" spans="2:35" ht="15" x14ac:dyDescent="0.25">
      <c r="B79" s="26" t="e">
        <f ca="1"/>
        <v>#NAME?</v>
      </c>
      <c r="C79" s="27" t="e">
        <f ca="1"/>
        <v>#NAME?</v>
      </c>
      <c r="D79" s="26" t="e">
        <f ca="1"/>
        <v>#NAME?</v>
      </c>
      <c r="E79" s="27" t="e">
        <f ca="1"/>
        <v>#NAME?</v>
      </c>
      <c r="F79" s="26" t="e">
        <f ca="1"/>
        <v>#NAME?</v>
      </c>
      <c r="G79" s="29" t="e">
        <f ca="1"/>
        <v>#NAME?</v>
      </c>
      <c r="H79" s="29" t="e">
        <f ca="1"/>
        <v>#NAME?</v>
      </c>
      <c r="I79" s="29" t="e">
        <f ca="1"/>
        <v>#NAME?</v>
      </c>
      <c r="J79" s="29" t="e">
        <f ca="1"/>
        <v>#NAME?</v>
      </c>
      <c r="K79" s="29" t="e">
        <f ca="1"/>
        <v>#NAME?</v>
      </c>
      <c r="L79" s="29" t="e">
        <f ca="1"/>
        <v>#NAME?</v>
      </c>
      <c r="M79" s="29" t="e">
        <f ca="1"/>
        <v>#NAME?</v>
      </c>
      <c r="N79" s="29" t="e">
        <f ca="1"/>
        <v>#NAME?</v>
      </c>
      <c r="O79" s="27" t="e">
        <f ca="1"/>
        <v>#NAME?</v>
      </c>
      <c r="Q79" s="8" t="e">
        <f t="shared" ca="1" si="4"/>
        <v>#NAME?</v>
      </c>
      <c r="R79" s="8" t="e">
        <f t="array" aca="1" ref="R79" ca="1">SQRT(MMULT($F79:$O79,MMULT($B$3:$K$12,TRANSPOSE($F79:$O79))))-B79</f>
        <v>#NAME?</v>
      </c>
      <c r="S79" s="8" t="e">
        <f t="shared" ca="1" si="5"/>
        <v>#NAME?</v>
      </c>
      <c r="T79" s="8" t="e">
        <f t="array" aca="1" ref="T79" ca="1">SUM(IF($F79:$O79&lt;TRANSPOSE($O$3:$O$12),ABS($F79:$O79-TRANSPOSE($O$3:$O$12)),"-"))+SUM(IF($F79:$O79&gt;TRANSPOSE($P$3:$P$12),ABS($F79:$O79-TRANSPOSE($P$3:$P$12)),"-"))</f>
        <v>#NAME?</v>
      </c>
      <c r="U79" s="8" t="e">
        <f t="array" aca="1" ref="U79" ca="1">SUM(IF(MMULT($F79:$O79,$B$17:$E$26)&lt;($B$28:$E$28),ABS(MMULT($F79:$O79,$B$17:$E$26)-$B$28:$E$28),"-"))+SUM(IF(MMULT($F79:$O79,$B$17:$E$26)&gt;($B$29:$E$29),(MMULT($F79:$O79,$B$17:$E$26)-$B$29:$E$29),"-"))</f>
        <v>#NAME?</v>
      </c>
      <c r="W79"/>
      <c r="X79"/>
      <c r="Y79"/>
      <c r="Z79"/>
      <c r="AA79"/>
      <c r="AB79"/>
      <c r="AC79"/>
      <c r="AD79"/>
      <c r="AE79"/>
      <c r="AF79"/>
      <c r="AG79"/>
      <c r="AH79"/>
      <c r="AI79"/>
    </row>
    <row r="80" spans="2:35" ht="15" x14ac:dyDescent="0.25">
      <c r="B80" s="26" t="e">
        <f ca="1"/>
        <v>#NAME?</v>
      </c>
      <c r="C80" s="27" t="e">
        <f ca="1"/>
        <v>#NAME?</v>
      </c>
      <c r="D80" s="26" t="e">
        <f ca="1"/>
        <v>#NAME?</v>
      </c>
      <c r="E80" s="27" t="e">
        <f ca="1"/>
        <v>#NAME?</v>
      </c>
      <c r="F80" s="26" t="e">
        <f ca="1"/>
        <v>#NAME?</v>
      </c>
      <c r="G80" s="29" t="e">
        <f ca="1"/>
        <v>#NAME?</v>
      </c>
      <c r="H80" s="29" t="e">
        <f ca="1"/>
        <v>#NAME?</v>
      </c>
      <c r="I80" s="29" t="e">
        <f ca="1"/>
        <v>#NAME?</v>
      </c>
      <c r="J80" s="29" t="e">
        <f ca="1"/>
        <v>#NAME?</v>
      </c>
      <c r="K80" s="29" t="e">
        <f ca="1"/>
        <v>#NAME?</v>
      </c>
      <c r="L80" s="29" t="e">
        <f ca="1"/>
        <v>#NAME?</v>
      </c>
      <c r="M80" s="29" t="e">
        <f ca="1"/>
        <v>#NAME?</v>
      </c>
      <c r="N80" s="29" t="e">
        <f ca="1"/>
        <v>#NAME?</v>
      </c>
      <c r="O80" s="27" t="e">
        <f ca="1"/>
        <v>#NAME?</v>
      </c>
      <c r="Q80" s="8" t="e">
        <f t="shared" ca="1" si="4"/>
        <v>#NAME?</v>
      </c>
      <c r="R80" s="8" t="e">
        <f t="array" aca="1" ref="R80" ca="1">SQRT(MMULT($F80:$O80,MMULT($B$3:$K$12,TRANSPOSE($F80:$O80))))-B80</f>
        <v>#NAME?</v>
      </c>
      <c r="S80" s="8" t="e">
        <f t="shared" ca="1" si="5"/>
        <v>#NAME?</v>
      </c>
      <c r="T80" s="8" t="e">
        <f t="array" aca="1" ref="T80" ca="1">SUM(IF($F80:$O80&lt;TRANSPOSE($O$3:$O$12),ABS($F80:$O80-TRANSPOSE($O$3:$O$12)),"-"))+SUM(IF($F80:$O80&gt;TRANSPOSE($P$3:$P$12),ABS($F80:$O80-TRANSPOSE($P$3:$P$12)),"-"))</f>
        <v>#NAME?</v>
      </c>
      <c r="U80" s="8" t="e">
        <f t="array" aca="1" ref="U80" ca="1">SUM(IF(MMULT($F80:$O80,$B$17:$E$26)&lt;($B$28:$E$28),ABS(MMULT($F80:$O80,$B$17:$E$26)-$B$28:$E$28),"-"))+SUM(IF(MMULT($F80:$O80,$B$17:$E$26)&gt;($B$29:$E$29),(MMULT($F80:$O80,$B$17:$E$26)-$B$29:$E$29),"-"))</f>
        <v>#NAME?</v>
      </c>
      <c r="W80"/>
      <c r="X80"/>
      <c r="Y80"/>
      <c r="Z80"/>
      <c r="AA80"/>
      <c r="AB80"/>
      <c r="AC80"/>
      <c r="AD80"/>
      <c r="AE80"/>
      <c r="AF80"/>
      <c r="AG80"/>
      <c r="AH80"/>
      <c r="AI80"/>
    </row>
    <row r="81" spans="1:35" ht="15" x14ac:dyDescent="0.25">
      <c r="B81" s="26" t="e">
        <f ca="1"/>
        <v>#NAME?</v>
      </c>
      <c r="C81" s="27" t="e">
        <f ca="1"/>
        <v>#NAME?</v>
      </c>
      <c r="D81" s="26" t="e">
        <f ca="1"/>
        <v>#NAME?</v>
      </c>
      <c r="E81" s="27" t="e">
        <f ca="1"/>
        <v>#NAME?</v>
      </c>
      <c r="F81" s="26" t="e">
        <f ca="1"/>
        <v>#NAME?</v>
      </c>
      <c r="G81" s="29" t="e">
        <f ca="1"/>
        <v>#NAME?</v>
      </c>
      <c r="H81" s="29" t="e">
        <f ca="1"/>
        <v>#NAME?</v>
      </c>
      <c r="I81" s="29" t="e">
        <f ca="1"/>
        <v>#NAME?</v>
      </c>
      <c r="J81" s="29" t="e">
        <f ca="1"/>
        <v>#NAME?</v>
      </c>
      <c r="K81" s="29" t="e">
        <f ca="1"/>
        <v>#NAME?</v>
      </c>
      <c r="L81" s="29" t="e">
        <f ca="1"/>
        <v>#NAME?</v>
      </c>
      <c r="M81" s="29" t="e">
        <f ca="1"/>
        <v>#NAME?</v>
      </c>
      <c r="N81" s="29" t="e">
        <f ca="1"/>
        <v>#NAME?</v>
      </c>
      <c r="O81" s="27" t="e">
        <f ca="1"/>
        <v>#NAME?</v>
      </c>
      <c r="Q81" s="8" t="e">
        <f t="shared" ca="1" si="4"/>
        <v>#NAME?</v>
      </c>
      <c r="R81" s="8" t="e">
        <f t="array" aca="1" ref="R81" ca="1">SQRT(MMULT($F81:$O81,MMULT($B$3:$K$12,TRANSPOSE($F81:$O81))))-B81</f>
        <v>#NAME?</v>
      </c>
      <c r="S81" s="8" t="e">
        <f t="shared" ca="1" si="5"/>
        <v>#NAME?</v>
      </c>
      <c r="T81" s="8" t="e">
        <f t="array" aca="1" ref="T81" ca="1">SUM(IF($F81:$O81&lt;TRANSPOSE($O$3:$O$12),ABS($F81:$O81-TRANSPOSE($O$3:$O$12)),"-"))+SUM(IF($F81:$O81&gt;TRANSPOSE($P$3:$P$12),ABS($F81:$O81-TRANSPOSE($P$3:$P$12)),"-"))</f>
        <v>#NAME?</v>
      </c>
      <c r="U81" s="8" t="e">
        <f t="array" aca="1" ref="U81" ca="1">SUM(IF(MMULT($F81:$O81,$B$17:$E$26)&lt;($B$28:$E$28),ABS(MMULT($F81:$O81,$B$17:$E$26)-$B$28:$E$28),"-"))+SUM(IF(MMULT($F81:$O81,$B$17:$E$26)&gt;($B$29:$E$29),(MMULT($F81:$O81,$B$17:$E$26)-$B$29:$E$29),"-"))</f>
        <v>#NAME?</v>
      </c>
      <c r="W81"/>
      <c r="X81"/>
      <c r="Y81"/>
      <c r="Z81"/>
      <c r="AA81"/>
      <c r="AB81"/>
      <c r="AC81"/>
      <c r="AD81"/>
      <c r="AE81"/>
      <c r="AF81"/>
      <c r="AG81"/>
      <c r="AH81"/>
      <c r="AI81"/>
    </row>
    <row r="82" spans="1:35" ht="15" x14ac:dyDescent="0.25">
      <c r="B82" s="26" t="e">
        <f ca="1"/>
        <v>#NAME?</v>
      </c>
      <c r="C82" s="27" t="e">
        <f ca="1"/>
        <v>#NAME?</v>
      </c>
      <c r="D82" s="26" t="e">
        <f ca="1"/>
        <v>#NAME?</v>
      </c>
      <c r="E82" s="27" t="e">
        <f ca="1"/>
        <v>#NAME?</v>
      </c>
      <c r="F82" s="26" t="e">
        <f ca="1"/>
        <v>#NAME?</v>
      </c>
      <c r="G82" s="29" t="e">
        <f ca="1"/>
        <v>#NAME?</v>
      </c>
      <c r="H82" s="29" t="e">
        <f ca="1"/>
        <v>#NAME?</v>
      </c>
      <c r="I82" s="29" t="e">
        <f ca="1"/>
        <v>#NAME?</v>
      </c>
      <c r="J82" s="29" t="e">
        <f ca="1"/>
        <v>#NAME?</v>
      </c>
      <c r="K82" s="29" t="e">
        <f ca="1"/>
        <v>#NAME?</v>
      </c>
      <c r="L82" s="29" t="e">
        <f ca="1"/>
        <v>#NAME?</v>
      </c>
      <c r="M82" s="29" t="e">
        <f ca="1"/>
        <v>#NAME?</v>
      </c>
      <c r="N82" s="29" t="e">
        <f ca="1"/>
        <v>#NAME?</v>
      </c>
      <c r="O82" s="27" t="e">
        <f ca="1"/>
        <v>#NAME?</v>
      </c>
      <c r="Q82" s="8" t="e">
        <f t="shared" ca="1" si="4"/>
        <v>#NAME?</v>
      </c>
      <c r="R82" s="8" t="e">
        <f t="array" aca="1" ref="R82" ca="1">SQRT(MMULT($F82:$O82,MMULT($B$3:$K$12,TRANSPOSE($F82:$O82))))-B82</f>
        <v>#NAME?</v>
      </c>
      <c r="S82" s="8" t="e">
        <f t="shared" ca="1" si="5"/>
        <v>#NAME?</v>
      </c>
      <c r="T82" s="8" t="e">
        <f t="array" aca="1" ref="T82" ca="1">SUM(IF($F82:$O82&lt;TRANSPOSE($O$3:$O$12),ABS($F82:$O82-TRANSPOSE($O$3:$O$12)),"-"))+SUM(IF($F82:$O82&gt;TRANSPOSE($P$3:$P$12),ABS($F82:$O82-TRANSPOSE($P$3:$P$12)),"-"))</f>
        <v>#NAME?</v>
      </c>
      <c r="U82" s="8" t="e">
        <f t="array" aca="1" ref="U82" ca="1">SUM(IF(MMULT($F82:$O82,$B$17:$E$26)&lt;($B$28:$E$28),ABS(MMULT($F82:$O82,$B$17:$E$26)-$B$28:$E$28),"-"))+SUM(IF(MMULT($F82:$O82,$B$17:$E$26)&gt;($B$29:$E$29),(MMULT($F82:$O82,$B$17:$E$26)-$B$29:$E$29),"-"))</f>
        <v>#NAME?</v>
      </c>
      <c r="W82"/>
      <c r="X82"/>
      <c r="Y82"/>
      <c r="Z82"/>
      <c r="AA82"/>
      <c r="AB82"/>
      <c r="AC82"/>
      <c r="AD82"/>
      <c r="AE82"/>
      <c r="AF82"/>
      <c r="AG82"/>
      <c r="AH82"/>
      <c r="AI82"/>
    </row>
    <row r="83" spans="1:35" ht="15" x14ac:dyDescent="0.25">
      <c r="B83" s="26" t="e">
        <f ca="1"/>
        <v>#NAME?</v>
      </c>
      <c r="C83" s="27" t="e">
        <f ca="1"/>
        <v>#NAME?</v>
      </c>
      <c r="D83" s="26" t="e">
        <f ca="1"/>
        <v>#NAME?</v>
      </c>
      <c r="E83" s="27" t="e">
        <f ca="1"/>
        <v>#NAME?</v>
      </c>
      <c r="F83" s="26" t="e">
        <f ca="1"/>
        <v>#NAME?</v>
      </c>
      <c r="G83" s="29" t="e">
        <f ca="1"/>
        <v>#NAME?</v>
      </c>
      <c r="H83" s="29" t="e">
        <f ca="1"/>
        <v>#NAME?</v>
      </c>
      <c r="I83" s="29" t="e">
        <f ca="1"/>
        <v>#NAME?</v>
      </c>
      <c r="J83" s="29" t="e">
        <f ca="1"/>
        <v>#NAME?</v>
      </c>
      <c r="K83" s="29" t="e">
        <f ca="1"/>
        <v>#NAME?</v>
      </c>
      <c r="L83" s="29" t="e">
        <f ca="1"/>
        <v>#NAME?</v>
      </c>
      <c r="M83" s="29" t="e">
        <f ca="1"/>
        <v>#NAME?</v>
      </c>
      <c r="N83" s="29" t="e">
        <f ca="1"/>
        <v>#NAME?</v>
      </c>
      <c r="O83" s="27" t="e">
        <f ca="1"/>
        <v>#NAME?</v>
      </c>
      <c r="Q83" s="8" t="e">
        <f t="shared" ca="1" si="4"/>
        <v>#NAME?</v>
      </c>
      <c r="R83" s="8" t="e">
        <f t="array" aca="1" ref="R83" ca="1">SQRT(MMULT($F83:$O83,MMULT($B$3:$K$12,TRANSPOSE($F83:$O83))))-B83</f>
        <v>#NAME?</v>
      </c>
      <c r="S83" s="8" t="e">
        <f t="shared" ca="1" si="5"/>
        <v>#NAME?</v>
      </c>
      <c r="T83" s="8" t="e">
        <f t="array" aca="1" ref="T83" ca="1">SUM(IF($F83:$O83&lt;TRANSPOSE($O$3:$O$12),ABS($F83:$O83-TRANSPOSE($O$3:$O$12)),"-"))+SUM(IF($F83:$O83&gt;TRANSPOSE($P$3:$P$12),ABS($F83:$O83-TRANSPOSE($P$3:$P$12)),"-"))</f>
        <v>#NAME?</v>
      </c>
      <c r="U83" s="8" t="e">
        <f t="array" aca="1" ref="U83" ca="1">SUM(IF(MMULT($F83:$O83,$B$17:$E$26)&lt;($B$28:$E$28),ABS(MMULT($F83:$O83,$B$17:$E$26)-$B$28:$E$28),"-"))+SUM(IF(MMULT($F83:$O83,$B$17:$E$26)&gt;($B$29:$E$29),(MMULT($F83:$O83,$B$17:$E$26)-$B$29:$E$29),"-"))</f>
        <v>#NAME?</v>
      </c>
      <c r="W83"/>
      <c r="X83"/>
      <c r="Y83"/>
      <c r="Z83"/>
      <c r="AA83"/>
      <c r="AB83"/>
      <c r="AC83"/>
      <c r="AD83"/>
      <c r="AE83"/>
      <c r="AF83"/>
      <c r="AG83"/>
      <c r="AH83"/>
      <c r="AI83"/>
    </row>
    <row r="84" spans="1:35" ht="15" x14ac:dyDescent="0.25">
      <c r="B84" s="26" t="e">
        <f ca="1"/>
        <v>#NAME?</v>
      </c>
      <c r="C84" s="27" t="e">
        <f ca="1"/>
        <v>#NAME?</v>
      </c>
      <c r="D84" s="26" t="e">
        <f ca="1"/>
        <v>#NAME?</v>
      </c>
      <c r="E84" s="27" t="e">
        <f ca="1"/>
        <v>#NAME?</v>
      </c>
      <c r="F84" s="26" t="e">
        <f ca="1"/>
        <v>#NAME?</v>
      </c>
      <c r="G84" s="29" t="e">
        <f ca="1"/>
        <v>#NAME?</v>
      </c>
      <c r="H84" s="29" t="e">
        <f ca="1"/>
        <v>#NAME?</v>
      </c>
      <c r="I84" s="29" t="e">
        <f ca="1"/>
        <v>#NAME?</v>
      </c>
      <c r="J84" s="29" t="e">
        <f ca="1"/>
        <v>#NAME?</v>
      </c>
      <c r="K84" s="29" t="e">
        <f ca="1"/>
        <v>#NAME?</v>
      </c>
      <c r="L84" s="29" t="e">
        <f ca="1"/>
        <v>#NAME?</v>
      </c>
      <c r="M84" s="29" t="e">
        <f ca="1"/>
        <v>#NAME?</v>
      </c>
      <c r="N84" s="29" t="e">
        <f ca="1"/>
        <v>#NAME?</v>
      </c>
      <c r="O84" s="27" t="e">
        <f ca="1"/>
        <v>#NAME?</v>
      </c>
      <c r="Q84" s="8" t="e">
        <f t="shared" ca="1" si="4"/>
        <v>#NAME?</v>
      </c>
      <c r="R84" s="8" t="e">
        <f t="array" aca="1" ref="R84" ca="1">SQRT(MMULT($F84:$O84,MMULT($B$3:$K$12,TRANSPOSE($F84:$O84))))-B84</f>
        <v>#NAME?</v>
      </c>
      <c r="S84" s="8" t="e">
        <f t="shared" ca="1" si="5"/>
        <v>#NAME?</v>
      </c>
      <c r="T84" s="8" t="e">
        <f t="array" aca="1" ref="T84" ca="1">SUM(IF($F84:$O84&lt;TRANSPOSE($O$3:$O$12),ABS($F84:$O84-TRANSPOSE($O$3:$O$12)),"-"))+SUM(IF($F84:$O84&gt;TRANSPOSE($P$3:$P$12),ABS($F84:$O84-TRANSPOSE($P$3:$P$12)),"-"))</f>
        <v>#NAME?</v>
      </c>
      <c r="U84" s="8" t="e">
        <f t="array" aca="1" ref="U84" ca="1">SUM(IF(MMULT($F84:$O84,$B$17:$E$26)&lt;($B$28:$E$28),ABS(MMULT($F84:$O84,$B$17:$E$26)-$B$28:$E$28),"-"))+SUM(IF(MMULT($F84:$O84,$B$17:$E$26)&gt;($B$29:$E$29),(MMULT($F84:$O84,$B$17:$E$26)-$B$29:$E$29),"-"))</f>
        <v>#NAME?</v>
      </c>
      <c r="W84"/>
      <c r="X84"/>
      <c r="Y84"/>
      <c r="Z84"/>
      <c r="AA84"/>
      <c r="AB84"/>
      <c r="AC84"/>
      <c r="AD84"/>
      <c r="AE84"/>
      <c r="AF84"/>
      <c r="AG84"/>
      <c r="AH84"/>
      <c r="AI84"/>
    </row>
    <row r="85" spans="1:35" ht="15" x14ac:dyDescent="0.25">
      <c r="B85" s="26" t="e">
        <f ca="1"/>
        <v>#NAME?</v>
      </c>
      <c r="C85" s="27" t="e">
        <f ca="1"/>
        <v>#NAME?</v>
      </c>
      <c r="D85" s="26" t="e">
        <f ca="1"/>
        <v>#NAME?</v>
      </c>
      <c r="E85" s="27" t="e">
        <f ca="1"/>
        <v>#NAME?</v>
      </c>
      <c r="F85" s="26" t="e">
        <f ca="1"/>
        <v>#NAME?</v>
      </c>
      <c r="G85" s="29" t="e">
        <f ca="1"/>
        <v>#NAME?</v>
      </c>
      <c r="H85" s="29" t="e">
        <f ca="1"/>
        <v>#NAME?</v>
      </c>
      <c r="I85" s="29" t="e">
        <f ca="1"/>
        <v>#NAME?</v>
      </c>
      <c r="J85" s="29" t="e">
        <f ca="1"/>
        <v>#NAME?</v>
      </c>
      <c r="K85" s="29" t="e">
        <f ca="1"/>
        <v>#NAME?</v>
      </c>
      <c r="L85" s="29" t="e">
        <f ca="1"/>
        <v>#NAME?</v>
      </c>
      <c r="M85" s="29" t="e">
        <f ca="1"/>
        <v>#NAME?</v>
      </c>
      <c r="N85" s="29" t="e">
        <f ca="1"/>
        <v>#NAME?</v>
      </c>
      <c r="O85" s="27" t="e">
        <f ca="1"/>
        <v>#NAME?</v>
      </c>
      <c r="Q85" s="8" t="e">
        <f t="shared" ca="1" si="4"/>
        <v>#NAME?</v>
      </c>
      <c r="R85" s="8" t="e">
        <f t="array" aca="1" ref="R85" ca="1">SQRT(MMULT($F85:$O85,MMULT($B$3:$K$12,TRANSPOSE($F85:$O85))))-B85</f>
        <v>#NAME?</v>
      </c>
      <c r="S85" s="8" t="e">
        <f t="shared" ca="1" si="5"/>
        <v>#NAME?</v>
      </c>
      <c r="T85" s="8" t="e">
        <f t="array" aca="1" ref="T85" ca="1">SUM(IF($F85:$O85&lt;TRANSPOSE($O$3:$O$12),ABS($F85:$O85-TRANSPOSE($O$3:$O$12)),"-"))+SUM(IF($F85:$O85&gt;TRANSPOSE($P$3:$P$12),ABS($F85:$O85-TRANSPOSE($P$3:$P$12)),"-"))</f>
        <v>#NAME?</v>
      </c>
      <c r="U85" s="8" t="e">
        <f t="array" aca="1" ref="U85" ca="1">SUM(IF(MMULT($F85:$O85,$B$17:$E$26)&lt;($B$28:$E$28),ABS(MMULT($F85:$O85,$B$17:$E$26)-$B$28:$E$28),"-"))+SUM(IF(MMULT($F85:$O85,$B$17:$E$26)&gt;($B$29:$E$29),(MMULT($F85:$O85,$B$17:$E$26)-$B$29:$E$29),"-"))</f>
        <v>#NAME?</v>
      </c>
      <c r="W85"/>
      <c r="X85"/>
      <c r="Y85"/>
      <c r="Z85"/>
      <c r="AA85"/>
      <c r="AB85"/>
      <c r="AC85"/>
      <c r="AD85"/>
      <c r="AE85"/>
      <c r="AF85"/>
      <c r="AG85"/>
      <c r="AH85"/>
      <c r="AI85"/>
    </row>
    <row r="86" spans="1:35" ht="15" x14ac:dyDescent="0.25">
      <c r="B86" s="26" t="e">
        <f ca="1"/>
        <v>#NAME?</v>
      </c>
      <c r="C86" s="27" t="e">
        <f ca="1"/>
        <v>#NAME?</v>
      </c>
      <c r="D86" s="26" t="e">
        <f ca="1"/>
        <v>#NAME?</v>
      </c>
      <c r="E86" s="27" t="e">
        <f ca="1"/>
        <v>#NAME?</v>
      </c>
      <c r="F86" s="26" t="e">
        <f ca="1"/>
        <v>#NAME?</v>
      </c>
      <c r="G86" s="29" t="e">
        <f ca="1"/>
        <v>#NAME?</v>
      </c>
      <c r="H86" s="29" t="e">
        <f ca="1"/>
        <v>#NAME?</v>
      </c>
      <c r="I86" s="29" t="e">
        <f ca="1"/>
        <v>#NAME?</v>
      </c>
      <c r="J86" s="29" t="e">
        <f ca="1"/>
        <v>#NAME?</v>
      </c>
      <c r="K86" s="29" t="e">
        <f ca="1"/>
        <v>#NAME?</v>
      </c>
      <c r="L86" s="29" t="e">
        <f ca="1"/>
        <v>#NAME?</v>
      </c>
      <c r="M86" s="29" t="e">
        <f ca="1"/>
        <v>#NAME?</v>
      </c>
      <c r="N86" s="29" t="e">
        <f ca="1"/>
        <v>#NAME?</v>
      </c>
      <c r="O86" s="27" t="e">
        <f ca="1"/>
        <v>#NAME?</v>
      </c>
      <c r="Q86" s="8" t="e">
        <f t="shared" ca="1" si="4"/>
        <v>#NAME?</v>
      </c>
      <c r="R86" s="8" t="e">
        <f t="array" aca="1" ref="R86" ca="1">SQRT(MMULT($F86:$O86,MMULT($B$3:$K$12,TRANSPOSE($F86:$O86))))-B86</f>
        <v>#NAME?</v>
      </c>
      <c r="S86" s="8" t="e">
        <f t="shared" ca="1" si="5"/>
        <v>#NAME?</v>
      </c>
      <c r="T86" s="8" t="e">
        <f t="array" aca="1" ref="T86" ca="1">SUM(IF($F86:$O86&lt;TRANSPOSE($O$3:$O$12),ABS($F86:$O86-TRANSPOSE($O$3:$O$12)),"-"))+SUM(IF($F86:$O86&gt;TRANSPOSE($P$3:$P$12),ABS($F86:$O86-TRANSPOSE($P$3:$P$12)),"-"))</f>
        <v>#NAME?</v>
      </c>
      <c r="U86" s="8" t="e">
        <f t="array" aca="1" ref="U86" ca="1">SUM(IF(MMULT($F86:$O86,$B$17:$E$26)&lt;($B$28:$E$28),ABS(MMULT($F86:$O86,$B$17:$E$26)-$B$28:$E$28),"-"))+SUM(IF(MMULT($F86:$O86,$B$17:$E$26)&gt;($B$29:$E$29),(MMULT($F86:$O86,$B$17:$E$26)-$B$29:$E$29),"-"))</f>
        <v>#NAME?</v>
      </c>
      <c r="W86"/>
      <c r="X86"/>
      <c r="Y86"/>
      <c r="Z86"/>
      <c r="AA86"/>
      <c r="AB86"/>
      <c r="AC86"/>
      <c r="AD86"/>
      <c r="AE86"/>
      <c r="AF86"/>
      <c r="AG86"/>
      <c r="AH86"/>
      <c r="AI86"/>
    </row>
    <row r="87" spans="1:35" ht="15" x14ac:dyDescent="0.25">
      <c r="B87" s="26" t="e">
        <f ca="1"/>
        <v>#NAME?</v>
      </c>
      <c r="C87" s="27" t="e">
        <f ca="1"/>
        <v>#NAME?</v>
      </c>
      <c r="D87" s="26" t="e">
        <f ca="1"/>
        <v>#NAME?</v>
      </c>
      <c r="E87" s="27" t="e">
        <f ca="1"/>
        <v>#NAME?</v>
      </c>
      <c r="F87" s="26" t="e">
        <f ca="1"/>
        <v>#NAME?</v>
      </c>
      <c r="G87" s="29" t="e">
        <f ca="1"/>
        <v>#NAME?</v>
      </c>
      <c r="H87" s="29" t="e">
        <f ca="1"/>
        <v>#NAME?</v>
      </c>
      <c r="I87" s="29" t="e">
        <f ca="1"/>
        <v>#NAME?</v>
      </c>
      <c r="J87" s="29" t="e">
        <f ca="1"/>
        <v>#NAME?</v>
      </c>
      <c r="K87" s="29" t="e">
        <f ca="1"/>
        <v>#NAME?</v>
      </c>
      <c r="L87" s="29" t="e">
        <f ca="1"/>
        <v>#NAME?</v>
      </c>
      <c r="M87" s="29" t="e">
        <f ca="1"/>
        <v>#NAME?</v>
      </c>
      <c r="N87" s="29" t="e">
        <f ca="1"/>
        <v>#NAME?</v>
      </c>
      <c r="O87" s="27" t="e">
        <f ca="1"/>
        <v>#NAME?</v>
      </c>
      <c r="Q87" s="8" t="e">
        <f t="shared" ca="1" si="4"/>
        <v>#NAME?</v>
      </c>
      <c r="R87" s="8" t="e">
        <f t="array" aca="1" ref="R87" ca="1">SQRT(MMULT($F87:$O87,MMULT($B$3:$K$12,TRANSPOSE($F87:$O87))))-B87</f>
        <v>#NAME?</v>
      </c>
      <c r="S87" s="8" t="e">
        <f t="shared" ca="1" si="5"/>
        <v>#NAME?</v>
      </c>
      <c r="T87" s="8" t="e">
        <f t="array" aca="1" ref="T87" ca="1">SUM(IF($F87:$O87&lt;TRANSPOSE($O$3:$O$12),ABS($F87:$O87-TRANSPOSE($O$3:$O$12)),"-"))+SUM(IF($F87:$O87&gt;TRANSPOSE($P$3:$P$12),ABS($F87:$O87-TRANSPOSE($P$3:$P$12)),"-"))</f>
        <v>#NAME?</v>
      </c>
      <c r="U87" s="8" t="e">
        <f t="array" aca="1" ref="U87" ca="1">SUM(IF(MMULT($F87:$O87,$B$17:$E$26)&lt;($B$28:$E$28),ABS(MMULT($F87:$O87,$B$17:$E$26)-$B$28:$E$28),"-"))+SUM(IF(MMULT($F87:$O87,$B$17:$E$26)&gt;($B$29:$E$29),(MMULT($F87:$O87,$B$17:$E$26)-$B$29:$E$29),"-"))</f>
        <v>#NAME?</v>
      </c>
      <c r="W87"/>
      <c r="X87"/>
      <c r="Y87"/>
      <c r="Z87"/>
      <c r="AA87"/>
      <c r="AB87"/>
      <c r="AC87"/>
      <c r="AD87"/>
      <c r="AE87"/>
      <c r="AF87"/>
      <c r="AG87"/>
      <c r="AH87"/>
      <c r="AI87"/>
    </row>
    <row r="88" spans="1:35" ht="15" x14ac:dyDescent="0.25">
      <c r="B88" s="26" t="e">
        <f ca="1"/>
        <v>#NAME?</v>
      </c>
      <c r="C88" s="27" t="e">
        <f ca="1"/>
        <v>#NAME?</v>
      </c>
      <c r="D88" s="26" t="e">
        <f ca="1"/>
        <v>#NAME?</v>
      </c>
      <c r="E88" s="27" t="e">
        <f ca="1"/>
        <v>#NAME?</v>
      </c>
      <c r="F88" s="26" t="e">
        <f ca="1"/>
        <v>#NAME?</v>
      </c>
      <c r="G88" s="29" t="e">
        <f ca="1"/>
        <v>#NAME?</v>
      </c>
      <c r="H88" s="29" t="e">
        <f ca="1"/>
        <v>#NAME?</v>
      </c>
      <c r="I88" s="29" t="e">
        <f ca="1"/>
        <v>#NAME?</v>
      </c>
      <c r="J88" s="29" t="e">
        <f ca="1"/>
        <v>#NAME?</v>
      </c>
      <c r="K88" s="29" t="e">
        <f ca="1"/>
        <v>#NAME?</v>
      </c>
      <c r="L88" s="29" t="e">
        <f ca="1"/>
        <v>#NAME?</v>
      </c>
      <c r="M88" s="29" t="e">
        <f ca="1"/>
        <v>#NAME?</v>
      </c>
      <c r="N88" s="29" t="e">
        <f ca="1"/>
        <v>#NAME?</v>
      </c>
      <c r="O88" s="27" t="e">
        <f ca="1"/>
        <v>#NAME?</v>
      </c>
      <c r="Q88" s="8" t="e">
        <f t="shared" ca="1" si="4"/>
        <v>#NAME?</v>
      </c>
      <c r="R88" s="8" t="e">
        <f t="array" aca="1" ref="R88" ca="1">SQRT(MMULT($F88:$O88,MMULT($B$3:$K$12,TRANSPOSE($F88:$O88))))-B88</f>
        <v>#NAME?</v>
      </c>
      <c r="S88" s="8" t="e">
        <f t="shared" ca="1" si="5"/>
        <v>#NAME?</v>
      </c>
      <c r="T88" s="8" t="e">
        <f t="array" aca="1" ref="T88" ca="1">SUM(IF($F88:$O88&lt;TRANSPOSE($O$3:$O$12),ABS($F88:$O88-TRANSPOSE($O$3:$O$12)),"-"))+SUM(IF($F88:$O88&gt;TRANSPOSE($P$3:$P$12),ABS($F88:$O88-TRANSPOSE($P$3:$P$12)),"-"))</f>
        <v>#NAME?</v>
      </c>
      <c r="U88" s="8" t="e">
        <f t="array" aca="1" ref="U88" ca="1">SUM(IF(MMULT($F88:$O88,$B$17:$E$26)&lt;($B$28:$E$28),ABS(MMULT($F88:$O88,$B$17:$E$26)-$B$28:$E$28),"-"))+SUM(IF(MMULT($F88:$O88,$B$17:$E$26)&gt;($B$29:$E$29),(MMULT($F88:$O88,$B$17:$E$26)-$B$29:$E$29),"-"))</f>
        <v>#NAME?</v>
      </c>
      <c r="W88"/>
      <c r="X88"/>
      <c r="Y88"/>
      <c r="Z88"/>
      <c r="AA88"/>
      <c r="AB88"/>
      <c r="AC88"/>
      <c r="AD88"/>
      <c r="AE88"/>
      <c r="AF88"/>
      <c r="AG88"/>
      <c r="AH88"/>
      <c r="AI88"/>
    </row>
    <row r="89" spans="1:35" ht="15" x14ac:dyDescent="0.25">
      <c r="B89" s="26" t="e">
        <f ca="1"/>
        <v>#NAME?</v>
      </c>
      <c r="C89" s="27" t="e">
        <f ca="1"/>
        <v>#NAME?</v>
      </c>
      <c r="D89" s="26" t="e">
        <f ca="1"/>
        <v>#NAME?</v>
      </c>
      <c r="E89" s="27" t="e">
        <f ca="1"/>
        <v>#NAME?</v>
      </c>
      <c r="F89" s="26" t="e">
        <f ca="1"/>
        <v>#NAME?</v>
      </c>
      <c r="G89" s="29" t="e">
        <f ca="1"/>
        <v>#NAME?</v>
      </c>
      <c r="H89" s="29" t="e">
        <f ca="1"/>
        <v>#NAME?</v>
      </c>
      <c r="I89" s="29" t="e">
        <f ca="1"/>
        <v>#NAME?</v>
      </c>
      <c r="J89" s="29" t="e">
        <f ca="1"/>
        <v>#NAME?</v>
      </c>
      <c r="K89" s="29" t="e">
        <f ca="1"/>
        <v>#NAME?</v>
      </c>
      <c r="L89" s="29" t="e">
        <f ca="1"/>
        <v>#NAME?</v>
      </c>
      <c r="M89" s="29" t="e">
        <f ca="1"/>
        <v>#NAME?</v>
      </c>
      <c r="N89" s="29" t="e">
        <f ca="1"/>
        <v>#NAME?</v>
      </c>
      <c r="O89" s="27" t="e">
        <f ca="1"/>
        <v>#NAME?</v>
      </c>
      <c r="Q89" s="8" t="e">
        <f t="shared" ca="1" si="4"/>
        <v>#NAME?</v>
      </c>
      <c r="R89" s="8" t="e">
        <f t="array" aca="1" ref="R89" ca="1">SQRT(MMULT($F89:$O89,MMULT($B$3:$K$12,TRANSPOSE($F89:$O89))))-B89</f>
        <v>#NAME?</v>
      </c>
      <c r="S89" s="8" t="e">
        <f t="shared" ca="1" si="5"/>
        <v>#NAME?</v>
      </c>
      <c r="T89" s="8" t="e">
        <f t="array" aca="1" ref="T89" ca="1">SUM(IF($F89:$O89&lt;TRANSPOSE($O$3:$O$12),ABS($F89:$O89-TRANSPOSE($O$3:$O$12)),"-"))+SUM(IF($F89:$O89&gt;TRANSPOSE($P$3:$P$12),ABS($F89:$O89-TRANSPOSE($P$3:$P$12)),"-"))</f>
        <v>#NAME?</v>
      </c>
      <c r="U89" s="8" t="e">
        <f t="array" aca="1" ref="U89" ca="1">SUM(IF(MMULT($F89:$O89,$B$17:$E$26)&lt;($B$28:$E$28),ABS(MMULT($F89:$O89,$B$17:$E$26)-$B$28:$E$28),"-"))+SUM(IF(MMULT($F89:$O89,$B$17:$E$26)&gt;($B$29:$E$29),(MMULT($F89:$O89,$B$17:$E$26)-$B$29:$E$29),"-"))</f>
        <v>#NAME?</v>
      </c>
      <c r="W89"/>
      <c r="X89"/>
      <c r="Y89"/>
      <c r="Z89"/>
      <c r="AA89"/>
      <c r="AB89"/>
      <c r="AC89"/>
      <c r="AD89"/>
      <c r="AE89"/>
      <c r="AF89"/>
      <c r="AG89"/>
      <c r="AH89"/>
      <c r="AI89"/>
    </row>
    <row r="90" spans="1:35" ht="15" x14ac:dyDescent="0.25">
      <c r="B90" s="26" t="e">
        <f ca="1"/>
        <v>#NAME?</v>
      </c>
      <c r="C90" s="27" t="e">
        <f ca="1"/>
        <v>#NAME?</v>
      </c>
      <c r="D90" s="26" t="e">
        <f ca="1"/>
        <v>#NAME?</v>
      </c>
      <c r="E90" s="27" t="e">
        <f ca="1"/>
        <v>#NAME?</v>
      </c>
      <c r="F90" s="26" t="e">
        <f ca="1"/>
        <v>#NAME?</v>
      </c>
      <c r="G90" s="29" t="e">
        <f ca="1"/>
        <v>#NAME?</v>
      </c>
      <c r="H90" s="29" t="e">
        <f ca="1"/>
        <v>#NAME?</v>
      </c>
      <c r="I90" s="29" t="e">
        <f ca="1"/>
        <v>#NAME?</v>
      </c>
      <c r="J90" s="29" t="e">
        <f ca="1"/>
        <v>#NAME?</v>
      </c>
      <c r="K90" s="29" t="e">
        <f ca="1"/>
        <v>#NAME?</v>
      </c>
      <c r="L90" s="29" t="e">
        <f ca="1"/>
        <v>#NAME?</v>
      </c>
      <c r="M90" s="29" t="e">
        <f ca="1"/>
        <v>#NAME?</v>
      </c>
      <c r="N90" s="29" t="e">
        <f ca="1"/>
        <v>#NAME?</v>
      </c>
      <c r="O90" s="27" t="e">
        <f ca="1"/>
        <v>#NAME?</v>
      </c>
      <c r="Q90" s="8" t="e">
        <f t="shared" ca="1" si="4"/>
        <v>#NAME?</v>
      </c>
      <c r="R90" s="8" t="e">
        <f t="array" aca="1" ref="R90" ca="1">SQRT(MMULT($F90:$O90,MMULT($B$3:$K$12,TRANSPOSE($F90:$O90))))-B90</f>
        <v>#NAME?</v>
      </c>
      <c r="S90" s="8" t="e">
        <f t="shared" ca="1" si="5"/>
        <v>#NAME?</v>
      </c>
      <c r="T90" s="8" t="e">
        <f t="array" aca="1" ref="T90" ca="1">SUM(IF($F90:$O90&lt;TRANSPOSE($O$3:$O$12),ABS($F90:$O90-TRANSPOSE($O$3:$O$12)),"-"))+SUM(IF($F90:$O90&gt;TRANSPOSE($P$3:$P$12),ABS($F90:$O90-TRANSPOSE($P$3:$P$12)),"-"))</f>
        <v>#NAME?</v>
      </c>
      <c r="U90" s="8" t="e">
        <f t="array" aca="1" ref="U90" ca="1">SUM(IF(MMULT($F90:$O90,$B$17:$E$26)&lt;($B$28:$E$28),ABS(MMULT($F90:$O90,$B$17:$E$26)-$B$28:$E$28),"-"))+SUM(IF(MMULT($F90:$O90,$B$17:$E$26)&gt;($B$29:$E$29),(MMULT($F90:$O90,$B$17:$E$26)-$B$29:$E$29),"-"))</f>
        <v>#NAME?</v>
      </c>
      <c r="W90"/>
      <c r="X90"/>
      <c r="Y90"/>
      <c r="Z90"/>
      <c r="AA90"/>
      <c r="AB90"/>
      <c r="AC90"/>
      <c r="AD90"/>
      <c r="AE90"/>
      <c r="AF90"/>
      <c r="AG90"/>
      <c r="AH90"/>
      <c r="AI90"/>
    </row>
    <row r="91" spans="1:35" ht="15" x14ac:dyDescent="0.25">
      <c r="B91" s="30"/>
      <c r="C91" s="30"/>
      <c r="D91" s="31"/>
      <c r="E91" s="31"/>
      <c r="F91" s="39"/>
      <c r="G91" s="39"/>
      <c r="H91" s="39"/>
      <c r="I91" s="39"/>
      <c r="J91" s="39"/>
      <c r="K91" s="39"/>
      <c r="L91" s="39"/>
      <c r="M91" s="39"/>
      <c r="N91" s="39"/>
      <c r="O91" s="39"/>
      <c r="Q91" s="32"/>
      <c r="R91" s="32"/>
      <c r="S91" s="8"/>
      <c r="T91" s="8"/>
      <c r="U91" s="8"/>
      <c r="W91"/>
      <c r="X91"/>
      <c r="Y91"/>
      <c r="Z91"/>
      <c r="AA91"/>
      <c r="AB91"/>
      <c r="AC91"/>
      <c r="AD91"/>
      <c r="AE91"/>
      <c r="AF91"/>
      <c r="AG91"/>
      <c r="AH91"/>
      <c r="AI91"/>
    </row>
    <row r="92" spans="1:35" ht="15" x14ac:dyDescent="0.25">
      <c r="B92" s="48" t="s">
        <v>43</v>
      </c>
      <c r="C92" s="49"/>
      <c r="D92" s="35" t="s">
        <v>40</v>
      </c>
      <c r="E92" s="36"/>
      <c r="F92" s="41" t="s">
        <v>42</v>
      </c>
      <c r="G92" s="42"/>
      <c r="H92" s="42"/>
      <c r="I92" s="42"/>
      <c r="J92" s="42"/>
      <c r="K92" s="42"/>
      <c r="L92" s="42"/>
      <c r="M92" s="42"/>
      <c r="N92" s="42"/>
      <c r="O92" s="43"/>
      <c r="Q92" s="32"/>
      <c r="R92" s="32"/>
      <c r="S92" s="8"/>
      <c r="T92" s="8"/>
      <c r="U92" s="8"/>
      <c r="W92"/>
      <c r="X92"/>
      <c r="Y92"/>
      <c r="Z92"/>
      <c r="AA92"/>
      <c r="AB92"/>
      <c r="AC92"/>
      <c r="AD92"/>
      <c r="AE92"/>
      <c r="AF92"/>
      <c r="AG92"/>
      <c r="AH92"/>
      <c r="AI92"/>
    </row>
    <row r="93" spans="1:35" ht="15" x14ac:dyDescent="0.25">
      <c r="B93" s="50" t="s">
        <v>30</v>
      </c>
      <c r="C93" s="51" t="s">
        <v>22</v>
      </c>
      <c r="D93" s="37" t="s">
        <v>30</v>
      </c>
      <c r="E93" s="38" t="s">
        <v>22</v>
      </c>
      <c r="F93" s="44" t="s">
        <v>41</v>
      </c>
      <c r="G93" s="45"/>
      <c r="H93" s="45"/>
      <c r="I93" s="45"/>
      <c r="J93" s="45"/>
      <c r="K93" s="45"/>
      <c r="L93" s="45"/>
      <c r="M93" s="45"/>
      <c r="N93" s="45"/>
      <c r="O93" s="46"/>
      <c r="Q93" s="8"/>
      <c r="R93" s="8"/>
      <c r="S93" s="8"/>
      <c r="T93" s="8"/>
      <c r="U93" s="8"/>
      <c r="W93"/>
      <c r="X93"/>
      <c r="Y93"/>
      <c r="Z93"/>
      <c r="AA93"/>
      <c r="AB93"/>
      <c r="AC93"/>
      <c r="AD93"/>
      <c r="AE93"/>
      <c r="AF93"/>
      <c r="AG93"/>
      <c r="AH93"/>
      <c r="AI93"/>
    </row>
    <row r="94" spans="1:35" ht="15" x14ac:dyDescent="0.25">
      <c r="A94" s="1" t="e">
        <v>#N/A</v>
      </c>
      <c r="B94" s="47" t="e">
        <f t="array" ref="B94">SQRT(MMULT($F94:$O94,MMULT($B$3:$K$12,TRANSPOSE($F94:$O94))))</f>
        <v>#VALUE!</v>
      </c>
      <c r="C94" s="47" t="e">
        <f>MMULT($F94:$O94,$M$3:$M$12)</f>
        <v>#VALUE!</v>
      </c>
      <c r="D94" s="33">
        <v>0.04</v>
      </c>
      <c r="E94" s="33">
        <v>0.09</v>
      </c>
      <c r="F94" s="26"/>
      <c r="G94" s="29"/>
      <c r="H94" s="29"/>
      <c r="I94" s="29"/>
      <c r="J94" s="29"/>
      <c r="K94" s="29"/>
      <c r="L94" s="29"/>
      <c r="M94" s="29"/>
      <c r="N94" s="29"/>
      <c r="O94" s="27"/>
      <c r="Q94" s="40" t="e">
        <f>C94-E94</f>
        <v>#VALUE!</v>
      </c>
      <c r="R94" s="40" t="e">
        <f>B94-D94</f>
        <v>#VALUE!</v>
      </c>
      <c r="S94" s="8">
        <f t="shared" ref="S94:S112" si="6">SUM(F94:O94)</f>
        <v>0</v>
      </c>
      <c r="T94" s="8">
        <f t="array" ref="T94">SUM(IF($F94:$O94&lt;TRANSPOSE($O$3:$O$12),ABS($F94:$O94-TRANSPOSE($O$3:$O$12)),"-"))+SUM(IF($F94:$O94&gt;TRANSPOSE($P$3:$P$12),ABS($F94:$O94-TRANSPOSE($P$3:$P$12)),"-"))</f>
        <v>0.08</v>
      </c>
      <c r="U94" s="8" t="e">
        <f t="array" ref="U94">SUM(IF(MMULT($F94:$O94,$B$17:$E$26)&lt;($B$28:$E$28),ABS(MMULT($F94:$O94,$B$17:$E$26)-$B$28:$E$28),"-"))+SUM(IF(MMULT($F94:$O94,$B$17:$E$26)&gt;($B$29:$E$29),(MMULT($F94:$O94,$B$17:$E$26)-$B$29:$E$29),"-"))</f>
        <v>#VALUE!</v>
      </c>
      <c r="W94"/>
      <c r="X94"/>
      <c r="Y94"/>
      <c r="Z94"/>
      <c r="AA94"/>
      <c r="AB94"/>
      <c r="AC94"/>
      <c r="AD94"/>
      <c r="AE94"/>
      <c r="AF94"/>
      <c r="AG94"/>
      <c r="AH94"/>
      <c r="AI94"/>
    </row>
    <row r="95" spans="1:35" ht="15" x14ac:dyDescent="0.25">
      <c r="A95" s="1">
        <v>8.0560952509187489E-2</v>
      </c>
      <c r="B95" s="47" t="e">
        <f t="array" ref="B95">SQRT(MMULT($F95:$O95,MMULT($B$3:$K$12,TRANSPOSE($F95:$O95))))</f>
        <v>#VALUE!</v>
      </c>
      <c r="C95" s="47" t="e">
        <f t="shared" ref="C95:C165" si="7">MMULT($F95:$O95,$M$3:$M$12)</f>
        <v>#VALUE!</v>
      </c>
      <c r="D95" s="33">
        <v>0.04</v>
      </c>
      <c r="E95" s="34">
        <f>E94+0.5%</f>
        <v>9.5000000000000001E-2</v>
      </c>
      <c r="F95" s="26"/>
      <c r="G95" s="29"/>
      <c r="H95" s="29"/>
      <c r="I95" s="29"/>
      <c r="J95" s="29"/>
      <c r="K95" s="29"/>
      <c r="L95" s="29"/>
      <c r="M95" s="29"/>
      <c r="N95" s="29"/>
      <c r="O95" s="27"/>
      <c r="Q95" s="40" t="e">
        <f t="shared" ref="Q95:Q112" si="8">C95-E95</f>
        <v>#VALUE!</v>
      </c>
      <c r="R95" s="40" t="e">
        <f t="shared" ref="R95:R112" si="9">B95-D95</f>
        <v>#VALUE!</v>
      </c>
      <c r="S95" s="8">
        <f t="shared" si="6"/>
        <v>0</v>
      </c>
      <c r="T95" s="8">
        <f t="array" ref="T95">SUM(IF($F95:$O95&lt;TRANSPOSE($O$3:$O$12),ABS($F95:$O95-TRANSPOSE($O$3:$O$12)),"-"))+SUM(IF($F95:$O95&gt;TRANSPOSE($P$3:$P$12),ABS($F95:$O95-TRANSPOSE($P$3:$P$12)),"-"))</f>
        <v>0.08</v>
      </c>
      <c r="U95" s="8" t="e">
        <f t="array" ref="U95">SUM(IF(MMULT($F95:$O95,$B$17:$E$26)&lt;($B$28:$E$28),ABS(MMULT($F95:$O95,$B$17:$E$26)-$B$28:$E$28),"-"))+SUM(IF(MMULT($F95:$O95,$B$17:$E$26)&gt;($B$29:$E$29),(MMULT($F95:$O95,$B$17:$E$26)-$B$29:$E$29),"-"))</f>
        <v>#VALUE!</v>
      </c>
      <c r="W95"/>
      <c r="X95"/>
      <c r="Y95"/>
      <c r="Z95"/>
      <c r="AA95"/>
      <c r="AB95"/>
      <c r="AC95"/>
      <c r="AD95"/>
      <c r="AE95"/>
      <c r="AF95"/>
      <c r="AG95"/>
      <c r="AH95"/>
      <c r="AI95"/>
    </row>
    <row r="96" spans="1:35" ht="15" x14ac:dyDescent="0.25">
      <c r="A96" s="1">
        <v>9.7487664402697224E-2</v>
      </c>
      <c r="B96" s="47" t="e">
        <f t="array" ref="B96">SQRT(MMULT($F96:$O96,MMULT($B$3:$K$12,TRANSPOSE($F96:$O96))))</f>
        <v>#VALUE!</v>
      </c>
      <c r="C96" s="47" t="e">
        <f t="shared" si="7"/>
        <v>#VALUE!</v>
      </c>
      <c r="D96" s="33">
        <v>0.04</v>
      </c>
      <c r="E96" s="34">
        <f t="shared" ref="E96:E110" si="10">E95+0.5%</f>
        <v>0.1</v>
      </c>
      <c r="F96" s="26"/>
      <c r="G96" s="29"/>
      <c r="H96" s="29"/>
      <c r="I96" s="29"/>
      <c r="J96" s="29"/>
      <c r="K96" s="29"/>
      <c r="L96" s="29"/>
      <c r="M96" s="29"/>
      <c r="N96" s="29"/>
      <c r="O96" s="27"/>
      <c r="Q96" s="40" t="e">
        <f t="shared" si="8"/>
        <v>#VALUE!</v>
      </c>
      <c r="R96" s="40" t="e">
        <f t="shared" si="9"/>
        <v>#VALUE!</v>
      </c>
      <c r="S96" s="8">
        <f t="shared" si="6"/>
        <v>0</v>
      </c>
      <c r="T96" s="8">
        <f t="array" ref="T96">SUM(IF($F96:$O96&lt;TRANSPOSE($O$3:$O$12),ABS($F96:$O96-TRANSPOSE($O$3:$O$12)),"-"))+SUM(IF($F96:$O96&gt;TRANSPOSE($P$3:$P$12),ABS($F96:$O96-TRANSPOSE($P$3:$P$12)),"-"))</f>
        <v>0.08</v>
      </c>
      <c r="U96" s="8" t="e">
        <f t="array" ref="U96">SUM(IF(MMULT($F96:$O96,$B$17:$E$26)&lt;($B$28:$E$28),ABS(MMULT($F96:$O96,$B$17:$E$26)-$B$28:$E$28),"-"))+SUM(IF(MMULT($F96:$O96,$B$17:$E$26)&gt;($B$29:$E$29),(MMULT($F96:$O96,$B$17:$E$26)-$B$29:$E$29),"-"))</f>
        <v>#VALUE!</v>
      </c>
      <c r="W96"/>
      <c r="X96"/>
      <c r="Y96"/>
      <c r="Z96"/>
      <c r="AA96"/>
      <c r="AB96"/>
      <c r="AC96"/>
      <c r="AD96"/>
      <c r="AE96"/>
      <c r="AF96"/>
      <c r="AG96"/>
      <c r="AH96"/>
      <c r="AI96"/>
    </row>
    <row r="97" spans="1:35" ht="15" x14ac:dyDescent="0.25">
      <c r="A97" s="1">
        <v>8.5757817416257598E-2</v>
      </c>
      <c r="B97" s="47" t="e">
        <f t="array" ref="B97">SQRT(MMULT($F97:$O97,MMULT($B$3:$K$12,TRANSPOSE($F97:$O97))))</f>
        <v>#VALUE!</v>
      </c>
      <c r="C97" s="47" t="e">
        <f t="shared" si="7"/>
        <v>#VALUE!</v>
      </c>
      <c r="D97" s="33">
        <v>0.04</v>
      </c>
      <c r="E97" s="34">
        <f t="shared" si="10"/>
        <v>0.10500000000000001</v>
      </c>
      <c r="F97" s="26"/>
      <c r="G97" s="29"/>
      <c r="H97" s="29"/>
      <c r="I97" s="29"/>
      <c r="J97" s="29"/>
      <c r="K97" s="29"/>
      <c r="L97" s="29"/>
      <c r="M97" s="29"/>
      <c r="N97" s="29"/>
      <c r="O97" s="27"/>
      <c r="Q97" s="40" t="e">
        <f t="shared" si="8"/>
        <v>#VALUE!</v>
      </c>
      <c r="R97" s="40" t="e">
        <f t="shared" si="9"/>
        <v>#VALUE!</v>
      </c>
      <c r="S97" s="8">
        <f t="shared" si="6"/>
        <v>0</v>
      </c>
      <c r="T97" s="8">
        <f t="array" ref="T97">SUM(IF($F97:$O97&lt;TRANSPOSE($O$3:$O$12),ABS($F97:$O97-TRANSPOSE($O$3:$O$12)),"-"))+SUM(IF($F97:$O97&gt;TRANSPOSE($P$3:$P$12),ABS($F97:$O97-TRANSPOSE($P$3:$P$12)),"-"))</f>
        <v>0.08</v>
      </c>
      <c r="U97" s="8" t="e">
        <f t="array" ref="U97">SUM(IF(MMULT($F97:$O97,$B$17:$E$26)&lt;($B$28:$E$28),ABS(MMULT($F97:$O97,$B$17:$E$26)-$B$28:$E$28),"-"))+SUM(IF(MMULT($F97:$O97,$B$17:$E$26)&gt;($B$29:$E$29),(MMULT($F97:$O97,$B$17:$E$26)-$B$29:$E$29),"-"))</f>
        <v>#VALUE!</v>
      </c>
      <c r="W97"/>
      <c r="X97"/>
      <c r="Y97"/>
      <c r="Z97"/>
      <c r="AA97"/>
      <c r="AB97"/>
      <c r="AC97"/>
      <c r="AD97"/>
      <c r="AE97"/>
      <c r="AF97"/>
      <c r="AG97"/>
      <c r="AH97"/>
      <c r="AI97"/>
    </row>
    <row r="98" spans="1:35" ht="15" x14ac:dyDescent="0.25">
      <c r="A98" s="1">
        <v>8.1078069404144137E-2</v>
      </c>
      <c r="B98" s="47" t="e">
        <f t="array" ref="B98">SQRT(MMULT($F98:$O98,MMULT($B$3:$K$12,TRANSPOSE($F98:$O98))))</f>
        <v>#VALUE!</v>
      </c>
      <c r="C98" s="47" t="e">
        <f t="shared" si="7"/>
        <v>#VALUE!</v>
      </c>
      <c r="D98" s="33">
        <v>0.04</v>
      </c>
      <c r="E98" s="34">
        <f t="shared" si="10"/>
        <v>0.11000000000000001</v>
      </c>
      <c r="F98" s="26"/>
      <c r="G98" s="29"/>
      <c r="H98" s="29"/>
      <c r="I98" s="29"/>
      <c r="J98" s="29"/>
      <c r="K98" s="29"/>
      <c r="L98" s="29"/>
      <c r="M98" s="29"/>
      <c r="N98" s="29"/>
      <c r="O98" s="27"/>
      <c r="Q98" s="40" t="e">
        <f t="shared" si="8"/>
        <v>#VALUE!</v>
      </c>
      <c r="R98" s="40" t="e">
        <f t="shared" si="9"/>
        <v>#VALUE!</v>
      </c>
      <c r="S98" s="8">
        <f t="shared" si="6"/>
        <v>0</v>
      </c>
      <c r="T98" s="8">
        <f t="array" ref="T98">SUM(IF($F98:$O98&lt;TRANSPOSE($O$3:$O$12),ABS($F98:$O98-TRANSPOSE($O$3:$O$12)),"-"))+SUM(IF($F98:$O98&gt;TRANSPOSE($P$3:$P$12),ABS($F98:$O98-TRANSPOSE($P$3:$P$12)),"-"))</f>
        <v>0.08</v>
      </c>
      <c r="U98" s="8" t="e">
        <f t="array" ref="U98">SUM(IF(MMULT($F98:$O98,$B$17:$E$26)&lt;($B$28:$E$28),ABS(MMULT($F98:$O98,$B$17:$E$26)-$B$28:$E$28),"-"))+SUM(IF(MMULT($F98:$O98,$B$17:$E$26)&gt;($B$29:$E$29),(MMULT($F98:$O98,$B$17:$E$26)-$B$29:$E$29),"-"))</f>
        <v>#VALUE!</v>
      </c>
      <c r="W98"/>
      <c r="X98"/>
      <c r="Y98"/>
      <c r="Z98"/>
      <c r="AA98"/>
      <c r="AB98"/>
      <c r="AC98"/>
      <c r="AD98"/>
      <c r="AE98"/>
      <c r="AF98"/>
      <c r="AG98"/>
      <c r="AH98"/>
      <c r="AI98"/>
    </row>
    <row r="99" spans="1:35" ht="15" x14ac:dyDescent="0.25">
      <c r="A99" s="1">
        <v>9.8849254840946935E-2</v>
      </c>
      <c r="B99" s="47" t="e">
        <f t="array" ref="B99">SQRT(MMULT($F99:$O99,MMULT($B$3:$K$12,TRANSPOSE($F99:$O99))))</f>
        <v>#VALUE!</v>
      </c>
      <c r="C99" s="47" t="e">
        <f t="shared" si="7"/>
        <v>#VALUE!</v>
      </c>
      <c r="D99" s="33">
        <v>0.04</v>
      </c>
      <c r="E99" s="34">
        <f t="shared" si="10"/>
        <v>0.11500000000000002</v>
      </c>
      <c r="F99" s="26"/>
      <c r="G99" s="29"/>
      <c r="H99" s="29"/>
      <c r="I99" s="29"/>
      <c r="J99" s="29"/>
      <c r="K99" s="29"/>
      <c r="L99" s="29"/>
      <c r="M99" s="29"/>
      <c r="N99" s="29"/>
      <c r="O99" s="27"/>
      <c r="Q99" s="40" t="e">
        <f t="shared" si="8"/>
        <v>#VALUE!</v>
      </c>
      <c r="R99" s="40" t="e">
        <f t="shared" si="9"/>
        <v>#VALUE!</v>
      </c>
      <c r="S99" s="8">
        <f t="shared" si="6"/>
        <v>0</v>
      </c>
      <c r="T99" s="8">
        <f t="array" ref="T99">SUM(IF($F99:$O99&lt;TRANSPOSE($O$3:$O$12),ABS($F99:$O99-TRANSPOSE($O$3:$O$12)),"-"))+SUM(IF($F99:$O99&gt;TRANSPOSE($P$3:$P$12),ABS($F99:$O99-TRANSPOSE($P$3:$P$12)),"-"))</f>
        <v>0.08</v>
      </c>
      <c r="U99" s="8" t="e">
        <f t="array" ref="U99">SUM(IF(MMULT($F99:$O99,$B$17:$E$26)&lt;($B$28:$E$28),ABS(MMULT($F99:$O99,$B$17:$E$26)-$B$28:$E$28),"-"))+SUM(IF(MMULT($F99:$O99,$B$17:$E$26)&gt;($B$29:$E$29),(MMULT($F99:$O99,$B$17:$E$26)-$B$29:$E$29),"-"))</f>
        <v>#VALUE!</v>
      </c>
      <c r="W99"/>
      <c r="X99"/>
      <c r="Y99"/>
      <c r="Z99"/>
      <c r="AA99"/>
      <c r="AB99"/>
      <c r="AC99"/>
      <c r="AD99"/>
      <c r="AE99"/>
      <c r="AF99"/>
      <c r="AG99"/>
      <c r="AH99"/>
      <c r="AI99"/>
    </row>
    <row r="100" spans="1:35" ht="15" x14ac:dyDescent="0.25">
      <c r="A100" s="1">
        <v>0.14310924528808658</v>
      </c>
      <c r="B100" s="47" t="e">
        <f t="array" ref="B100">SQRT(MMULT($F100:$O100,MMULT($B$3:$K$12,TRANSPOSE($F100:$O100))))</f>
        <v>#VALUE!</v>
      </c>
      <c r="C100" s="47" t="e">
        <f t="shared" si="7"/>
        <v>#VALUE!</v>
      </c>
      <c r="D100" s="33">
        <v>0.04</v>
      </c>
      <c r="E100" s="34">
        <f t="shared" si="10"/>
        <v>0.12000000000000002</v>
      </c>
      <c r="F100" s="26"/>
      <c r="G100" s="29"/>
      <c r="H100" s="29"/>
      <c r="I100" s="29"/>
      <c r="J100" s="29"/>
      <c r="K100" s="29"/>
      <c r="L100" s="29"/>
      <c r="M100" s="29"/>
      <c r="N100" s="29"/>
      <c r="O100" s="27"/>
      <c r="Q100" s="40" t="e">
        <f t="shared" si="8"/>
        <v>#VALUE!</v>
      </c>
      <c r="R100" s="40" t="e">
        <f t="shared" si="9"/>
        <v>#VALUE!</v>
      </c>
      <c r="S100" s="8">
        <f t="shared" si="6"/>
        <v>0</v>
      </c>
      <c r="T100" s="8">
        <f t="array" ref="T100">SUM(IF($F100:$O100&lt;TRANSPOSE($O$3:$O$12),ABS($F100:$O100-TRANSPOSE($O$3:$O$12)),"-"))+SUM(IF($F100:$O100&gt;TRANSPOSE($P$3:$P$12),ABS($F100:$O100-TRANSPOSE($P$3:$P$12)),"-"))</f>
        <v>0.08</v>
      </c>
      <c r="U100" s="8" t="e">
        <f t="array" ref="U100">SUM(IF(MMULT($F100:$O100,$B$17:$E$26)&lt;($B$28:$E$28),ABS(MMULT($F100:$O100,$B$17:$E$26)-$B$28:$E$28),"-"))+SUM(IF(MMULT($F100:$O100,$B$17:$E$26)&gt;($B$29:$E$29),(MMULT($F100:$O100,$B$17:$E$26)-$B$29:$E$29),"-"))</f>
        <v>#VALUE!</v>
      </c>
      <c r="W100"/>
      <c r="X100"/>
      <c r="Y100"/>
      <c r="Z100"/>
      <c r="AA100"/>
      <c r="AB100"/>
      <c r="AC100"/>
      <c r="AD100"/>
      <c r="AE100"/>
      <c r="AF100"/>
      <c r="AG100"/>
      <c r="AH100"/>
      <c r="AI100"/>
    </row>
    <row r="101" spans="1:35" ht="15" x14ac:dyDescent="0.25">
      <c r="A101" s="1" t="e">
        <v>#N/A</v>
      </c>
      <c r="B101" s="47" t="e">
        <f t="array" ref="B101">SQRT(MMULT($F101:$O101,MMULT($B$3:$K$12,TRANSPOSE($F101:$O101))))</f>
        <v>#VALUE!</v>
      </c>
      <c r="C101" s="47" t="e">
        <f t="shared" si="7"/>
        <v>#VALUE!</v>
      </c>
      <c r="D101" s="33">
        <v>0.04</v>
      </c>
      <c r="E101" s="34">
        <f t="shared" si="10"/>
        <v>0.12500000000000003</v>
      </c>
      <c r="F101" s="26"/>
      <c r="G101" s="29"/>
      <c r="H101" s="29"/>
      <c r="I101" s="29"/>
      <c r="J101" s="29"/>
      <c r="K101" s="29"/>
      <c r="L101" s="29"/>
      <c r="M101" s="29"/>
      <c r="N101" s="29"/>
      <c r="O101" s="27"/>
      <c r="Q101" s="40" t="e">
        <f t="shared" si="8"/>
        <v>#VALUE!</v>
      </c>
      <c r="R101" s="40" t="e">
        <f t="shared" si="9"/>
        <v>#VALUE!</v>
      </c>
      <c r="S101" s="8">
        <f t="shared" si="6"/>
        <v>0</v>
      </c>
      <c r="T101" s="8">
        <f t="array" ref="T101">SUM(IF($F101:$O101&lt;TRANSPOSE($O$3:$O$12),ABS($F101:$O101-TRANSPOSE($O$3:$O$12)),"-"))+SUM(IF($F101:$O101&gt;TRANSPOSE($P$3:$P$12),ABS($F101:$O101-TRANSPOSE($P$3:$P$12)),"-"))</f>
        <v>0.08</v>
      </c>
      <c r="U101" s="8" t="e">
        <f t="array" ref="U101">SUM(IF(MMULT($F101:$O101,$B$17:$E$26)&lt;($B$28:$E$28),ABS(MMULT($F101:$O101,$B$17:$E$26)-$B$28:$E$28),"-"))+SUM(IF(MMULT($F101:$O101,$B$17:$E$26)&gt;($B$29:$E$29),(MMULT($F101:$O101,$B$17:$E$26)-$B$29:$E$29),"-"))</f>
        <v>#VALUE!</v>
      </c>
      <c r="W101"/>
      <c r="X101"/>
      <c r="Y101"/>
      <c r="Z101"/>
      <c r="AA101"/>
      <c r="AB101"/>
      <c r="AC101"/>
      <c r="AD101"/>
      <c r="AE101"/>
      <c r="AF101"/>
      <c r="AG101"/>
      <c r="AH101"/>
      <c r="AI101"/>
    </row>
    <row r="102" spans="1:35" ht="15" x14ac:dyDescent="0.25">
      <c r="A102" s="1" t="e">
        <v>#N/A</v>
      </c>
      <c r="B102" s="47" t="e">
        <f t="array" ref="B102">SQRT(MMULT($F102:$O102,MMULT($B$3:$K$12,TRANSPOSE($F102:$O102))))</f>
        <v>#VALUE!</v>
      </c>
      <c r="C102" s="47" t="e">
        <f t="shared" si="7"/>
        <v>#VALUE!</v>
      </c>
      <c r="D102" s="33">
        <v>0.04</v>
      </c>
      <c r="E102" s="34">
        <f t="shared" si="10"/>
        <v>0.13000000000000003</v>
      </c>
      <c r="F102" s="26"/>
      <c r="G102" s="29"/>
      <c r="H102" s="29"/>
      <c r="I102" s="29"/>
      <c r="J102" s="29"/>
      <c r="K102" s="29"/>
      <c r="L102" s="29"/>
      <c r="M102" s="29"/>
      <c r="N102" s="29"/>
      <c r="O102" s="27"/>
      <c r="Q102" s="40" t="e">
        <f t="shared" si="8"/>
        <v>#VALUE!</v>
      </c>
      <c r="R102" s="40" t="e">
        <f t="shared" si="9"/>
        <v>#VALUE!</v>
      </c>
      <c r="S102" s="8">
        <f t="shared" si="6"/>
        <v>0</v>
      </c>
      <c r="T102" s="8">
        <f t="array" ref="T102">SUM(IF($F102:$O102&lt;TRANSPOSE($O$3:$O$12),ABS($F102:$O102-TRANSPOSE($O$3:$O$12)),"-"))+SUM(IF($F102:$O102&gt;TRANSPOSE($P$3:$P$12),ABS($F102:$O102-TRANSPOSE($P$3:$P$12)),"-"))</f>
        <v>0.08</v>
      </c>
      <c r="U102" s="8" t="e">
        <f t="array" ref="U102">SUM(IF(MMULT($F102:$O102,$B$17:$E$26)&lt;($B$28:$E$28),ABS(MMULT($F102:$O102,$B$17:$E$26)-$B$28:$E$28),"-"))+SUM(IF(MMULT($F102:$O102,$B$17:$E$26)&gt;($B$29:$E$29),(MMULT($F102:$O102,$B$17:$E$26)-$B$29:$E$29),"-"))</f>
        <v>#VALUE!</v>
      </c>
      <c r="W102"/>
      <c r="X102"/>
      <c r="Y102"/>
      <c r="Z102"/>
      <c r="AA102"/>
      <c r="AB102"/>
      <c r="AC102"/>
      <c r="AD102"/>
      <c r="AE102"/>
      <c r="AF102"/>
      <c r="AG102"/>
      <c r="AH102"/>
      <c r="AI102"/>
    </row>
    <row r="103" spans="1:35" ht="15" x14ac:dyDescent="0.25">
      <c r="A103" s="1" t="e">
        <v>#N/A</v>
      </c>
      <c r="B103" s="47" t="e">
        <f t="array" ref="B103">SQRT(MMULT($F103:$O103,MMULT($B$3:$K$12,TRANSPOSE($F103:$O103))))</f>
        <v>#VALUE!</v>
      </c>
      <c r="C103" s="47" t="e">
        <f t="shared" si="7"/>
        <v>#VALUE!</v>
      </c>
      <c r="D103" s="33">
        <v>0.04</v>
      </c>
      <c r="E103" s="34">
        <f t="shared" si="10"/>
        <v>0.13500000000000004</v>
      </c>
      <c r="F103" s="26"/>
      <c r="G103" s="29"/>
      <c r="H103" s="29"/>
      <c r="I103" s="29"/>
      <c r="J103" s="29"/>
      <c r="K103" s="29"/>
      <c r="L103" s="29"/>
      <c r="M103" s="29"/>
      <c r="N103" s="29"/>
      <c r="O103" s="27"/>
      <c r="Q103" s="40" t="e">
        <f t="shared" si="8"/>
        <v>#VALUE!</v>
      </c>
      <c r="R103" s="40" t="e">
        <f t="shared" si="9"/>
        <v>#VALUE!</v>
      </c>
      <c r="S103" s="8">
        <f t="shared" si="6"/>
        <v>0</v>
      </c>
      <c r="T103" s="8">
        <f t="array" ref="T103">SUM(IF($F103:$O103&lt;TRANSPOSE($O$3:$O$12),ABS($F103:$O103-TRANSPOSE($O$3:$O$12)),"-"))+SUM(IF($F103:$O103&gt;TRANSPOSE($P$3:$P$12),ABS($F103:$O103-TRANSPOSE($P$3:$P$12)),"-"))</f>
        <v>0.08</v>
      </c>
      <c r="U103" s="8" t="e">
        <f t="array" ref="U103">SUM(IF(MMULT($F103:$O103,$B$17:$E$26)&lt;($B$28:$E$28),ABS(MMULT($F103:$O103,$B$17:$E$26)-$B$28:$E$28),"-"))+SUM(IF(MMULT($F103:$O103,$B$17:$E$26)&gt;($B$29:$E$29),(MMULT($F103:$O103,$B$17:$E$26)-$B$29:$E$29),"-"))</f>
        <v>#VALUE!</v>
      </c>
      <c r="W103"/>
      <c r="X103"/>
      <c r="Y103"/>
      <c r="Z103"/>
      <c r="AA103"/>
      <c r="AB103"/>
      <c r="AC103"/>
      <c r="AD103"/>
      <c r="AE103"/>
      <c r="AF103"/>
      <c r="AG103"/>
      <c r="AH103"/>
      <c r="AI103"/>
    </row>
    <row r="104" spans="1:35" ht="15" x14ac:dyDescent="0.25">
      <c r="A104" s="1" t="e">
        <v>#N/A</v>
      </c>
      <c r="B104" s="47" t="e">
        <f t="array" ref="B104">SQRT(MMULT($F104:$O104,MMULT($B$3:$K$12,TRANSPOSE($F104:$O104))))</f>
        <v>#VALUE!</v>
      </c>
      <c r="C104" s="47" t="e">
        <f t="shared" si="7"/>
        <v>#VALUE!</v>
      </c>
      <c r="D104" s="33">
        <v>0.04</v>
      </c>
      <c r="E104" s="34">
        <f t="shared" si="10"/>
        <v>0.14000000000000004</v>
      </c>
      <c r="F104" s="26"/>
      <c r="G104" s="29"/>
      <c r="H104" s="29"/>
      <c r="I104" s="29"/>
      <c r="J104" s="29"/>
      <c r="K104" s="29"/>
      <c r="L104" s="29"/>
      <c r="M104" s="29"/>
      <c r="N104" s="29"/>
      <c r="O104" s="27"/>
      <c r="Q104" s="40" t="e">
        <f t="shared" si="8"/>
        <v>#VALUE!</v>
      </c>
      <c r="R104" s="40" t="e">
        <f t="shared" si="9"/>
        <v>#VALUE!</v>
      </c>
      <c r="S104" s="8">
        <f t="shared" si="6"/>
        <v>0</v>
      </c>
      <c r="T104" s="8">
        <f t="array" ref="T104">SUM(IF($F104:$O104&lt;TRANSPOSE($O$3:$O$12),ABS($F104:$O104-TRANSPOSE($O$3:$O$12)),"-"))+SUM(IF($F104:$O104&gt;TRANSPOSE($P$3:$P$12),ABS($F104:$O104-TRANSPOSE($P$3:$P$12)),"-"))</f>
        <v>0.08</v>
      </c>
      <c r="U104" s="8" t="e">
        <f t="array" ref="U104">SUM(IF(MMULT($F104:$O104,$B$17:$E$26)&lt;($B$28:$E$28),ABS(MMULT($F104:$O104,$B$17:$E$26)-$B$28:$E$28),"-"))+SUM(IF(MMULT($F104:$O104,$B$17:$E$26)&gt;($B$29:$E$29),(MMULT($F104:$O104,$B$17:$E$26)-$B$29:$E$29),"-"))</f>
        <v>#VALUE!</v>
      </c>
      <c r="W104"/>
      <c r="X104"/>
      <c r="Y104"/>
      <c r="Z104"/>
      <c r="AA104"/>
      <c r="AB104"/>
      <c r="AC104"/>
      <c r="AD104"/>
      <c r="AE104"/>
      <c r="AF104"/>
      <c r="AG104"/>
      <c r="AH104"/>
      <c r="AI104"/>
    </row>
    <row r="105" spans="1:35" x14ac:dyDescent="0.2">
      <c r="A105" s="1" t="e">
        <v>#N/A</v>
      </c>
      <c r="B105" s="47" t="e">
        <f t="array" ref="B105">SQRT(MMULT($F105:$O105,MMULT($B$3:$K$12,TRANSPOSE($F105:$O105))))</f>
        <v>#VALUE!</v>
      </c>
      <c r="C105" s="47" t="e">
        <f t="shared" si="7"/>
        <v>#VALUE!</v>
      </c>
      <c r="D105" s="33">
        <v>0.04</v>
      </c>
      <c r="E105" s="34">
        <f t="shared" si="10"/>
        <v>0.14500000000000005</v>
      </c>
      <c r="F105" s="26"/>
      <c r="G105" s="29"/>
      <c r="H105" s="29"/>
      <c r="I105" s="29"/>
      <c r="J105" s="29"/>
      <c r="K105" s="29"/>
      <c r="L105" s="29"/>
      <c r="M105" s="29"/>
      <c r="N105" s="29"/>
      <c r="O105" s="27"/>
      <c r="Q105" s="40" t="e">
        <f t="shared" si="8"/>
        <v>#VALUE!</v>
      </c>
      <c r="R105" s="40" t="e">
        <f t="shared" si="9"/>
        <v>#VALUE!</v>
      </c>
      <c r="S105" s="8">
        <f t="shared" si="6"/>
        <v>0</v>
      </c>
      <c r="T105" s="8">
        <f t="array" ref="T105">SUM(IF($F105:$O105&lt;TRANSPOSE($O$3:$O$12),ABS($F105:$O105-TRANSPOSE($O$3:$O$12)),"-"))+SUM(IF($F105:$O105&gt;TRANSPOSE($P$3:$P$12),ABS($F105:$O105-TRANSPOSE($P$3:$P$12)),"-"))</f>
        <v>0.08</v>
      </c>
      <c r="U105" s="8" t="e">
        <f t="array" ref="U105">SUM(IF(MMULT($F105:$O105,$B$17:$E$26)&lt;($B$28:$E$28),ABS(MMULT($F105:$O105,$B$17:$E$26)-$B$28:$E$28),"-"))+SUM(IF(MMULT($F105:$O105,$B$17:$E$26)&gt;($B$29:$E$29),(MMULT($F105:$O105,$B$17:$E$26)-$B$29:$E$29),"-"))</f>
        <v>#VALUE!</v>
      </c>
    </row>
    <row r="106" spans="1:35" x14ac:dyDescent="0.2">
      <c r="A106" s="1" t="e">
        <v>#N/A</v>
      </c>
      <c r="B106" s="47" t="e">
        <f t="array" ref="B106">SQRT(MMULT($F106:$O106,MMULT($B$3:$K$12,TRANSPOSE($F106:$O106))))</f>
        <v>#VALUE!</v>
      </c>
      <c r="C106" s="47" t="e">
        <f t="shared" si="7"/>
        <v>#VALUE!</v>
      </c>
      <c r="D106" s="33">
        <v>0.04</v>
      </c>
      <c r="E106" s="34">
        <f t="shared" si="10"/>
        <v>0.15000000000000005</v>
      </c>
      <c r="F106" s="26"/>
      <c r="G106" s="29"/>
      <c r="H106" s="29"/>
      <c r="I106" s="29"/>
      <c r="J106" s="29"/>
      <c r="K106" s="29"/>
      <c r="L106" s="29"/>
      <c r="M106" s="29"/>
      <c r="N106" s="29"/>
      <c r="O106" s="27"/>
      <c r="Q106" s="40" t="e">
        <f t="shared" si="8"/>
        <v>#VALUE!</v>
      </c>
      <c r="R106" s="40" t="e">
        <f t="shared" si="9"/>
        <v>#VALUE!</v>
      </c>
      <c r="S106" s="8">
        <f t="shared" si="6"/>
        <v>0</v>
      </c>
      <c r="T106" s="8">
        <f t="array" ref="T106">SUM(IF($F106:$O106&lt;TRANSPOSE($O$3:$O$12),ABS($F106:$O106-TRANSPOSE($O$3:$O$12)),"-"))+SUM(IF($F106:$O106&gt;TRANSPOSE($P$3:$P$12),ABS($F106:$O106-TRANSPOSE($P$3:$P$12)),"-"))</f>
        <v>0.08</v>
      </c>
      <c r="U106" s="8" t="e">
        <f t="array" ref="U106">SUM(IF(MMULT($F106:$O106,$B$17:$E$26)&lt;($B$28:$E$28),ABS(MMULT($F106:$O106,$B$17:$E$26)-$B$28:$E$28),"-"))+SUM(IF(MMULT($F106:$O106,$B$17:$E$26)&gt;($B$29:$E$29),(MMULT($F106:$O106,$B$17:$E$26)-$B$29:$E$29),"-"))</f>
        <v>#VALUE!</v>
      </c>
    </row>
    <row r="107" spans="1:35" x14ac:dyDescent="0.2">
      <c r="A107" s="1" t="e">
        <v>#N/A</v>
      </c>
      <c r="B107" s="47" t="e">
        <f t="array" ref="B107">SQRT(MMULT($F107:$O107,MMULT($B$3:$K$12,TRANSPOSE($F107:$O107))))</f>
        <v>#VALUE!</v>
      </c>
      <c r="C107" s="47" t="e">
        <f t="shared" si="7"/>
        <v>#VALUE!</v>
      </c>
      <c r="D107" s="33">
        <v>0.04</v>
      </c>
      <c r="E107" s="34">
        <f t="shared" si="10"/>
        <v>0.15500000000000005</v>
      </c>
      <c r="F107" s="26"/>
      <c r="G107" s="29"/>
      <c r="H107" s="29"/>
      <c r="I107" s="29"/>
      <c r="J107" s="29"/>
      <c r="K107" s="29"/>
      <c r="L107" s="29"/>
      <c r="M107" s="29"/>
      <c r="N107" s="29"/>
      <c r="O107" s="27"/>
      <c r="Q107" s="40" t="e">
        <f t="shared" si="8"/>
        <v>#VALUE!</v>
      </c>
      <c r="R107" s="40" t="e">
        <f t="shared" si="9"/>
        <v>#VALUE!</v>
      </c>
      <c r="S107" s="8">
        <f t="shared" si="6"/>
        <v>0</v>
      </c>
      <c r="T107" s="8">
        <f t="array" ref="T107">SUM(IF($F107:$O107&lt;TRANSPOSE($O$3:$O$12),ABS($F107:$O107-TRANSPOSE($O$3:$O$12)),"-"))+SUM(IF($F107:$O107&gt;TRANSPOSE($P$3:$P$12),ABS($F107:$O107-TRANSPOSE($P$3:$P$12)),"-"))</f>
        <v>0.08</v>
      </c>
      <c r="U107" s="8" t="e">
        <f t="array" ref="U107">SUM(IF(MMULT($F107:$O107,$B$17:$E$26)&lt;($B$28:$E$28),ABS(MMULT($F107:$O107,$B$17:$E$26)-$B$28:$E$28),"-"))+SUM(IF(MMULT($F107:$O107,$B$17:$E$26)&gt;($B$29:$E$29),(MMULT($F107:$O107,$B$17:$E$26)-$B$29:$E$29),"-"))</f>
        <v>#VALUE!</v>
      </c>
    </row>
    <row r="108" spans="1:35" x14ac:dyDescent="0.2">
      <c r="A108" s="1" t="e">
        <v>#N/A</v>
      </c>
      <c r="B108" s="47" t="e">
        <f t="array" ref="B108">SQRT(MMULT($F108:$O108,MMULT($B$3:$K$12,TRANSPOSE($F108:$O108))))</f>
        <v>#VALUE!</v>
      </c>
      <c r="C108" s="47" t="e">
        <f t="shared" si="7"/>
        <v>#VALUE!</v>
      </c>
      <c r="D108" s="33">
        <v>0.04</v>
      </c>
      <c r="E108" s="34">
        <f t="shared" si="10"/>
        <v>0.16000000000000006</v>
      </c>
      <c r="F108" s="26"/>
      <c r="G108" s="29"/>
      <c r="H108" s="29"/>
      <c r="I108" s="29"/>
      <c r="J108" s="29"/>
      <c r="K108" s="29"/>
      <c r="L108" s="29"/>
      <c r="M108" s="29"/>
      <c r="N108" s="29"/>
      <c r="O108" s="27"/>
      <c r="Q108" s="40" t="e">
        <f t="shared" si="8"/>
        <v>#VALUE!</v>
      </c>
      <c r="R108" s="40" t="e">
        <f t="shared" si="9"/>
        <v>#VALUE!</v>
      </c>
      <c r="S108" s="8">
        <f t="shared" si="6"/>
        <v>0</v>
      </c>
      <c r="T108" s="8">
        <f t="array" ref="T108">SUM(IF($F108:$O108&lt;TRANSPOSE($O$3:$O$12),ABS($F108:$O108-TRANSPOSE($O$3:$O$12)),"-"))+SUM(IF($F108:$O108&gt;TRANSPOSE($P$3:$P$12),ABS($F108:$O108-TRANSPOSE($P$3:$P$12)),"-"))</f>
        <v>0.08</v>
      </c>
      <c r="U108" s="8" t="e">
        <f t="array" ref="U108">SUM(IF(MMULT($F108:$O108,$B$17:$E$26)&lt;($B$28:$E$28),ABS(MMULT($F108:$O108,$B$17:$E$26)-$B$28:$E$28),"-"))+SUM(IF(MMULT($F108:$O108,$B$17:$E$26)&gt;($B$29:$E$29),(MMULT($F108:$O108,$B$17:$E$26)-$B$29:$E$29),"-"))</f>
        <v>#VALUE!</v>
      </c>
    </row>
    <row r="109" spans="1:35" x14ac:dyDescent="0.2">
      <c r="A109" s="1" t="e">
        <v>#N/A</v>
      </c>
      <c r="B109" s="47" t="e">
        <f t="array" ref="B109">SQRT(MMULT($F109:$O109,MMULT($B$3:$K$12,TRANSPOSE($F109:$O109))))</f>
        <v>#VALUE!</v>
      </c>
      <c r="C109" s="47" t="e">
        <f t="shared" si="7"/>
        <v>#VALUE!</v>
      </c>
      <c r="D109" s="33">
        <v>0.04</v>
      </c>
      <c r="E109" s="34">
        <f t="shared" si="10"/>
        <v>0.16500000000000006</v>
      </c>
      <c r="F109" s="26"/>
      <c r="G109" s="29"/>
      <c r="H109" s="29"/>
      <c r="I109" s="29"/>
      <c r="J109" s="29"/>
      <c r="K109" s="29"/>
      <c r="L109" s="29"/>
      <c r="M109" s="29"/>
      <c r="N109" s="29"/>
      <c r="O109" s="27"/>
      <c r="Q109" s="40" t="e">
        <f t="shared" si="8"/>
        <v>#VALUE!</v>
      </c>
      <c r="R109" s="40" t="e">
        <f t="shared" si="9"/>
        <v>#VALUE!</v>
      </c>
      <c r="S109" s="8">
        <f t="shared" si="6"/>
        <v>0</v>
      </c>
      <c r="T109" s="8">
        <f t="array" ref="T109">SUM(IF($F109:$O109&lt;TRANSPOSE($O$3:$O$12),ABS($F109:$O109-TRANSPOSE($O$3:$O$12)),"-"))+SUM(IF($F109:$O109&gt;TRANSPOSE($P$3:$P$12),ABS($F109:$O109-TRANSPOSE($P$3:$P$12)),"-"))</f>
        <v>0.08</v>
      </c>
      <c r="U109" s="8" t="e">
        <f t="array" ref="U109">SUM(IF(MMULT($F109:$O109,$B$17:$E$26)&lt;($B$28:$E$28),ABS(MMULT($F109:$O109,$B$17:$E$26)-$B$28:$E$28),"-"))+SUM(IF(MMULT($F109:$O109,$B$17:$E$26)&gt;($B$29:$E$29),(MMULT($F109:$O109,$B$17:$E$26)-$B$29:$E$29),"-"))</f>
        <v>#VALUE!</v>
      </c>
    </row>
    <row r="110" spans="1:35" x14ac:dyDescent="0.2">
      <c r="A110" s="1" t="e">
        <v>#N/A</v>
      </c>
      <c r="B110" s="47" t="e">
        <f t="array" ref="B110">SQRT(MMULT($F110:$O110,MMULT($B$3:$K$12,TRANSPOSE($F110:$O110))))</f>
        <v>#VALUE!</v>
      </c>
      <c r="C110" s="47" t="e">
        <f t="shared" si="7"/>
        <v>#VALUE!</v>
      </c>
      <c r="D110" s="33">
        <v>0.04</v>
      </c>
      <c r="E110" s="34">
        <f t="shared" si="10"/>
        <v>0.17000000000000007</v>
      </c>
      <c r="F110" s="26"/>
      <c r="G110" s="29"/>
      <c r="H110" s="29"/>
      <c r="I110" s="29"/>
      <c r="J110" s="29"/>
      <c r="K110" s="29"/>
      <c r="L110" s="29"/>
      <c r="M110" s="29"/>
      <c r="N110" s="29"/>
      <c r="O110" s="27"/>
      <c r="Q110" s="40" t="e">
        <f t="shared" si="8"/>
        <v>#VALUE!</v>
      </c>
      <c r="R110" s="40" t="e">
        <f t="shared" si="9"/>
        <v>#VALUE!</v>
      </c>
      <c r="S110" s="8">
        <f t="shared" si="6"/>
        <v>0</v>
      </c>
      <c r="T110" s="8">
        <f t="array" ref="T110">SUM(IF($F110:$O110&lt;TRANSPOSE($O$3:$O$12),ABS($F110:$O110-TRANSPOSE($O$3:$O$12)),"-"))+SUM(IF($F110:$O110&gt;TRANSPOSE($P$3:$P$12),ABS($F110:$O110-TRANSPOSE($P$3:$P$12)),"-"))</f>
        <v>0.08</v>
      </c>
      <c r="U110" s="8" t="e">
        <f t="array" ref="U110">SUM(IF(MMULT($F110:$O110,$B$17:$E$26)&lt;($B$28:$E$28),ABS(MMULT($F110:$O110,$B$17:$E$26)-$B$28:$E$28),"-"))+SUM(IF(MMULT($F110:$O110,$B$17:$E$26)&gt;($B$29:$E$29),(MMULT($F110:$O110,$B$17:$E$26)-$B$29:$E$29),"-"))</f>
        <v>#VALUE!</v>
      </c>
    </row>
    <row r="111" spans="1:35" x14ac:dyDescent="0.2">
      <c r="A111" s="1" t="e">
        <v>#N/A</v>
      </c>
      <c r="B111" s="47" t="e">
        <f t="array" ref="B111">SQRT(MMULT($F111:$O111,MMULT($B$3:$K$12,TRANSPOSE($F111:$O111))))</f>
        <v>#VALUE!</v>
      </c>
      <c r="C111" s="47" t="e">
        <f t="shared" si="7"/>
        <v>#VALUE!</v>
      </c>
      <c r="D111" s="52">
        <f>D94+2%</f>
        <v>0.06</v>
      </c>
      <c r="E111" s="34">
        <f>E94</f>
        <v>0.09</v>
      </c>
      <c r="F111" s="26"/>
      <c r="G111" s="29"/>
      <c r="H111" s="29"/>
      <c r="I111" s="29"/>
      <c r="J111" s="29"/>
      <c r="K111" s="29"/>
      <c r="L111" s="29"/>
      <c r="M111" s="29"/>
      <c r="N111" s="29"/>
      <c r="O111" s="27"/>
      <c r="Q111" s="40" t="e">
        <f t="shared" si="8"/>
        <v>#VALUE!</v>
      </c>
      <c r="R111" s="40" t="e">
        <f t="shared" si="9"/>
        <v>#VALUE!</v>
      </c>
      <c r="S111" s="8">
        <f t="shared" si="6"/>
        <v>0</v>
      </c>
      <c r="T111" s="8">
        <f t="array" ref="T111">SUM(IF($F111:$O111&lt;TRANSPOSE($O$3:$O$12),ABS($F111:$O111-TRANSPOSE($O$3:$O$12)),"-"))+SUM(IF($F111:$O111&gt;TRANSPOSE($P$3:$P$12),ABS($F111:$O111-TRANSPOSE($P$3:$P$12)),"-"))</f>
        <v>0.08</v>
      </c>
      <c r="U111" s="8" t="e">
        <f t="array" ref="U111">SUM(IF(MMULT($F111:$O111,$B$17:$E$26)&lt;($B$28:$E$28),ABS(MMULT($F111:$O111,$B$17:$E$26)-$B$28:$E$28),"-"))+SUM(IF(MMULT($F111:$O111,$B$17:$E$26)&gt;($B$29:$E$29),(MMULT($F111:$O111,$B$17:$E$26)-$B$29:$E$29),"-"))</f>
        <v>#VALUE!</v>
      </c>
    </row>
    <row r="112" spans="1:35" x14ac:dyDescent="0.2">
      <c r="A112" s="1" t="e">
        <v>#N/A</v>
      </c>
      <c r="B112" s="47" t="e">
        <f t="array" ref="B112">SQRT(MMULT($F112:$O112,MMULT($B$3:$K$12,TRANSPOSE($F112:$O112))))</f>
        <v>#VALUE!</v>
      </c>
      <c r="C112" s="47" t="e">
        <f t="shared" si="7"/>
        <v>#VALUE!</v>
      </c>
      <c r="D112" s="52">
        <f t="shared" ref="D112:D165" si="11">D95+2%</f>
        <v>0.06</v>
      </c>
      <c r="E112" s="34">
        <f t="shared" ref="E112:E165" si="12">E95</f>
        <v>9.5000000000000001E-2</v>
      </c>
      <c r="F112" s="26"/>
      <c r="G112" s="29"/>
      <c r="H112" s="29"/>
      <c r="I112" s="29"/>
      <c r="J112" s="29"/>
      <c r="K112" s="29"/>
      <c r="L112" s="29"/>
      <c r="M112" s="29"/>
      <c r="N112" s="29"/>
      <c r="O112" s="27"/>
      <c r="Q112" s="40" t="e">
        <f t="shared" si="8"/>
        <v>#VALUE!</v>
      </c>
      <c r="R112" s="40" t="e">
        <f t="shared" si="9"/>
        <v>#VALUE!</v>
      </c>
      <c r="S112" s="8">
        <f t="shared" si="6"/>
        <v>0</v>
      </c>
      <c r="T112" s="8">
        <f t="array" ref="T112">SUM(IF($F112:$O112&lt;TRANSPOSE($O$3:$O$12),ABS($F112:$O112-TRANSPOSE($O$3:$O$12)),"-"))+SUM(IF($F112:$O112&gt;TRANSPOSE($P$3:$P$12),ABS($F112:$O112-TRANSPOSE($P$3:$P$12)),"-"))</f>
        <v>0.08</v>
      </c>
      <c r="U112" s="8" t="e">
        <f t="array" ref="U112">SUM(IF(MMULT($F112:$O112,$B$17:$E$26)&lt;($B$28:$E$28),ABS(MMULT($F112:$O112,$B$17:$E$26)-$B$28:$E$28),"-"))+SUM(IF(MMULT($F112:$O112,$B$17:$E$26)&gt;($B$29:$E$29),(MMULT($F112:$O112,$B$17:$E$26)-$B$29:$E$29),"-"))</f>
        <v>#VALUE!</v>
      </c>
    </row>
    <row r="113" spans="1:21" x14ac:dyDescent="0.2">
      <c r="A113" s="1">
        <v>0.23438595591237421</v>
      </c>
      <c r="B113" s="47" t="e">
        <f t="array" ref="B113">SQRT(MMULT($F113:$O113,MMULT($B$3:$K$12,TRANSPOSE($F113:$O113))))</f>
        <v>#VALUE!</v>
      </c>
      <c r="C113" s="47" t="e">
        <f t="shared" si="7"/>
        <v>#VALUE!</v>
      </c>
      <c r="D113" s="52">
        <f t="shared" si="11"/>
        <v>0.06</v>
      </c>
      <c r="E113" s="34">
        <f t="shared" si="12"/>
        <v>0.1</v>
      </c>
      <c r="F113" s="26"/>
      <c r="G113" s="29"/>
      <c r="H113" s="29"/>
      <c r="I113" s="29"/>
      <c r="J113" s="29"/>
      <c r="K113" s="29"/>
      <c r="L113" s="29"/>
      <c r="M113" s="29"/>
      <c r="N113" s="29"/>
      <c r="O113" s="27"/>
      <c r="Q113" s="40" t="e">
        <f t="shared" ref="Q113:Q165" si="13">C113-E113</f>
        <v>#VALUE!</v>
      </c>
      <c r="R113" s="40" t="e">
        <f t="shared" ref="R113:R165" si="14">B113-D113</f>
        <v>#VALUE!</v>
      </c>
      <c r="S113" s="8">
        <f t="shared" ref="S113:S165" si="15">SUM(F113:O113)</f>
        <v>0</v>
      </c>
      <c r="T113" s="8">
        <f t="array" ref="T113">SUM(IF($F113:$O113&lt;TRANSPOSE($O$3:$O$12),ABS($F113:$O113-TRANSPOSE($O$3:$O$12)),"-"))+SUM(IF($F113:$O113&gt;TRANSPOSE($P$3:$P$12),ABS($F113:$O113-TRANSPOSE($P$3:$P$12)),"-"))</f>
        <v>0.08</v>
      </c>
      <c r="U113" s="8" t="e">
        <f t="array" ref="U113">SUM(IF(MMULT($F113:$O113,$B$17:$E$26)&lt;($B$28:$E$28),ABS(MMULT($F113:$O113,$B$17:$E$26)-$B$28:$E$28),"-"))+SUM(IF(MMULT($F113:$O113,$B$17:$E$26)&gt;($B$29:$E$29),(MMULT($F113:$O113,$B$17:$E$26)-$B$29:$E$29),"-"))</f>
        <v>#VALUE!</v>
      </c>
    </row>
    <row r="114" spans="1:21" x14ac:dyDescent="0.2">
      <c r="A114" s="1">
        <v>0.229424628590508</v>
      </c>
      <c r="B114" s="47" t="e">
        <f t="array" ref="B114">SQRT(MMULT($F114:$O114,MMULT($B$3:$K$12,TRANSPOSE($F114:$O114))))</f>
        <v>#N/A</v>
      </c>
      <c r="C114" s="47" t="e">
        <f t="shared" si="7"/>
        <v>#N/A</v>
      </c>
      <c r="D114" s="52">
        <f t="shared" si="11"/>
        <v>0.06</v>
      </c>
      <c r="E114" s="34">
        <f t="shared" si="12"/>
        <v>0.10500000000000001</v>
      </c>
      <c r="F114" s="26" t="e">
        <f t="array" ref="F114:O114">EfficientFrontier3($B$3:$K$12,$M$3:$M$12,$O$3:$O$12,$P$3:$P$12,$B$17:$F$26,$B$28:$F$28,$B$29:$F$29,"BMK_REPLICATE",TRUE,,$E114,$D114)</f>
        <v>#N/A</v>
      </c>
      <c r="G114" s="29" t="e">
        <v>#N/A</v>
      </c>
      <c r="H114" s="29" t="e">
        <v>#N/A</v>
      </c>
      <c r="I114" s="29" t="e">
        <v>#N/A</v>
      </c>
      <c r="J114" s="29" t="e">
        <v>#N/A</v>
      </c>
      <c r="K114" s="29" t="e">
        <v>#N/A</v>
      </c>
      <c r="L114" s="29" t="e">
        <v>#N/A</v>
      </c>
      <c r="M114" s="29" t="e">
        <v>#N/A</v>
      </c>
      <c r="N114" s="29" t="e">
        <v>#N/A</v>
      </c>
      <c r="O114" s="27" t="e">
        <v>#N/A</v>
      </c>
      <c r="Q114" s="40" t="e">
        <f t="shared" si="13"/>
        <v>#N/A</v>
      </c>
      <c r="R114" s="40" t="e">
        <f t="shared" si="14"/>
        <v>#N/A</v>
      </c>
      <c r="S114" s="8" t="e">
        <f t="shared" si="15"/>
        <v>#N/A</v>
      </c>
      <c r="T114" s="8" t="e">
        <f t="array" ref="T114">SUM(IF($F114:$O114&lt;TRANSPOSE($O$3:$O$12),ABS($F114:$O114-TRANSPOSE($O$3:$O$12)),"-"))+SUM(IF($F114:$O114&gt;TRANSPOSE($P$3:$P$12),ABS($F114:$O114-TRANSPOSE($P$3:$P$12)),"-"))</f>
        <v>#N/A</v>
      </c>
      <c r="U114" s="8" t="e">
        <f t="array" ref="U114">SUM(IF(MMULT($F114:$O114,$B$17:$E$26)&lt;($B$28:$E$28),ABS(MMULT($F114:$O114,$B$17:$E$26)-$B$28:$E$28),"-"))+SUM(IF(MMULT($F114:$O114,$B$17:$E$26)&gt;($B$29:$E$29),(MMULT($F114:$O114,$B$17:$E$26)-$B$29:$E$29),"-"))</f>
        <v>#N/A</v>
      </c>
    </row>
    <row r="115" spans="1:21" x14ac:dyDescent="0.2">
      <c r="A115" s="1">
        <v>0.23043419984350785</v>
      </c>
      <c r="B115" s="47" t="e">
        <f t="array" ref="B115">SQRT(MMULT($F115:$O115,MMULT($B$3:$K$12,TRANSPOSE($F115:$O115))))</f>
        <v>#VALUE!</v>
      </c>
      <c r="C115" s="47" t="e">
        <f t="shared" si="7"/>
        <v>#VALUE!</v>
      </c>
      <c r="D115" s="52">
        <f t="shared" si="11"/>
        <v>0.06</v>
      </c>
      <c r="E115" s="34">
        <f t="shared" si="12"/>
        <v>0.11000000000000001</v>
      </c>
      <c r="F115" s="26"/>
      <c r="G115" s="29"/>
      <c r="H115" s="29"/>
      <c r="I115" s="29"/>
      <c r="J115" s="29"/>
      <c r="K115" s="29"/>
      <c r="L115" s="29"/>
      <c r="M115" s="29"/>
      <c r="N115" s="29"/>
      <c r="O115" s="27"/>
      <c r="Q115" s="40" t="e">
        <f t="shared" si="13"/>
        <v>#VALUE!</v>
      </c>
      <c r="R115" s="40" t="e">
        <f t="shared" si="14"/>
        <v>#VALUE!</v>
      </c>
      <c r="S115" s="8">
        <f t="shared" si="15"/>
        <v>0</v>
      </c>
      <c r="T115" s="8">
        <f t="array" ref="T115">SUM(IF($F115:$O115&lt;TRANSPOSE($O$3:$O$12),ABS($F115:$O115-TRANSPOSE($O$3:$O$12)),"-"))+SUM(IF($F115:$O115&gt;TRANSPOSE($P$3:$P$12),ABS($F115:$O115-TRANSPOSE($P$3:$P$12)),"-"))</f>
        <v>0.08</v>
      </c>
      <c r="U115" s="8" t="e">
        <f t="array" ref="U115">SUM(IF(MMULT($F115:$O115,$B$17:$E$26)&lt;($B$28:$E$28),ABS(MMULT($F115:$O115,$B$17:$E$26)-$B$28:$E$28),"-"))+SUM(IF(MMULT($F115:$O115,$B$17:$E$26)&gt;($B$29:$E$29),(MMULT($F115:$O115,$B$17:$E$26)-$B$29:$E$29),"-"))</f>
        <v>#VALUE!</v>
      </c>
    </row>
    <row r="116" spans="1:21" x14ac:dyDescent="0.2">
      <c r="A116" s="1">
        <v>0.22300062958644451</v>
      </c>
      <c r="B116" s="47" t="e">
        <f t="array" ref="B116">SQRT(MMULT($F116:$O116,MMULT($B$3:$K$12,TRANSPOSE($F116:$O116))))</f>
        <v>#VALUE!</v>
      </c>
      <c r="C116" s="47" t="e">
        <f t="shared" si="7"/>
        <v>#VALUE!</v>
      </c>
      <c r="D116" s="52">
        <f t="shared" si="11"/>
        <v>0.06</v>
      </c>
      <c r="E116" s="34">
        <f t="shared" si="12"/>
        <v>0.11500000000000002</v>
      </c>
      <c r="F116" s="26"/>
      <c r="G116" s="29"/>
      <c r="H116" s="29"/>
      <c r="I116" s="29"/>
      <c r="J116" s="29"/>
      <c r="K116" s="29"/>
      <c r="L116" s="29"/>
      <c r="M116" s="29"/>
      <c r="N116" s="29"/>
      <c r="O116" s="27"/>
      <c r="Q116" s="40" t="e">
        <f t="shared" si="13"/>
        <v>#VALUE!</v>
      </c>
      <c r="R116" s="40" t="e">
        <f t="shared" si="14"/>
        <v>#VALUE!</v>
      </c>
      <c r="S116" s="8">
        <f t="shared" si="15"/>
        <v>0</v>
      </c>
      <c r="T116" s="8">
        <f t="array" ref="T116">SUM(IF($F116:$O116&lt;TRANSPOSE($O$3:$O$12),ABS($F116:$O116-TRANSPOSE($O$3:$O$12)),"-"))+SUM(IF($F116:$O116&gt;TRANSPOSE($P$3:$P$12),ABS($F116:$O116-TRANSPOSE($P$3:$P$12)),"-"))</f>
        <v>0.08</v>
      </c>
      <c r="U116" s="8" t="e">
        <f t="array" ref="U116">SUM(IF(MMULT($F116:$O116,$B$17:$E$26)&lt;($B$28:$E$28),ABS(MMULT($F116:$O116,$B$17:$E$26)-$B$28:$E$28),"-"))+SUM(IF(MMULT($F116:$O116,$B$17:$E$26)&gt;($B$29:$E$29),(MMULT($F116:$O116,$B$17:$E$26)-$B$29:$E$29),"-"))</f>
        <v>#VALUE!</v>
      </c>
    </row>
    <row r="117" spans="1:21" x14ac:dyDescent="0.2">
      <c r="A117" s="1">
        <v>0.2135399118402671</v>
      </c>
      <c r="B117" s="47" t="e">
        <f t="array" ref="B117">SQRT(MMULT($F117:$O117,MMULT($B$3:$K$12,TRANSPOSE($F117:$O117))))</f>
        <v>#VALUE!</v>
      </c>
      <c r="C117" s="47" t="e">
        <f t="shared" si="7"/>
        <v>#VALUE!</v>
      </c>
      <c r="D117" s="52">
        <f t="shared" si="11"/>
        <v>0.06</v>
      </c>
      <c r="E117" s="34">
        <f t="shared" si="12"/>
        <v>0.12000000000000002</v>
      </c>
      <c r="F117" s="26"/>
      <c r="G117" s="29"/>
      <c r="H117" s="29"/>
      <c r="I117" s="29"/>
      <c r="J117" s="29"/>
      <c r="K117" s="29"/>
      <c r="L117" s="29"/>
      <c r="M117" s="29"/>
      <c r="N117" s="29"/>
      <c r="O117" s="27"/>
      <c r="Q117" s="40" t="e">
        <f t="shared" si="13"/>
        <v>#VALUE!</v>
      </c>
      <c r="R117" s="40" t="e">
        <f t="shared" si="14"/>
        <v>#VALUE!</v>
      </c>
      <c r="S117" s="8">
        <f t="shared" si="15"/>
        <v>0</v>
      </c>
      <c r="T117" s="8">
        <f t="array" ref="T117">SUM(IF($F117:$O117&lt;TRANSPOSE($O$3:$O$12),ABS($F117:$O117-TRANSPOSE($O$3:$O$12)),"-"))+SUM(IF($F117:$O117&gt;TRANSPOSE($P$3:$P$12),ABS($F117:$O117-TRANSPOSE($P$3:$P$12)),"-"))</f>
        <v>0.08</v>
      </c>
      <c r="U117" s="8" t="e">
        <f t="array" ref="U117">SUM(IF(MMULT($F117:$O117,$B$17:$E$26)&lt;($B$28:$E$28),ABS(MMULT($F117:$O117,$B$17:$E$26)-$B$28:$E$28),"-"))+SUM(IF(MMULT($F117:$O117,$B$17:$E$26)&gt;($B$29:$E$29),(MMULT($F117:$O117,$B$17:$E$26)-$B$29:$E$29),"-"))</f>
        <v>#VALUE!</v>
      </c>
    </row>
    <row r="118" spans="1:21" x14ac:dyDescent="0.2">
      <c r="A118" s="1">
        <v>0.23679552028633957</v>
      </c>
      <c r="B118" s="47" t="e">
        <f t="array" ref="B118">SQRT(MMULT($F118:$O118,MMULT($B$3:$K$12,TRANSPOSE($F118:$O118))))</f>
        <v>#VALUE!</v>
      </c>
      <c r="C118" s="47" t="e">
        <f t="shared" si="7"/>
        <v>#VALUE!</v>
      </c>
      <c r="D118" s="52">
        <f t="shared" si="11"/>
        <v>0.06</v>
      </c>
      <c r="E118" s="34">
        <f t="shared" si="12"/>
        <v>0.12500000000000003</v>
      </c>
      <c r="F118" s="26"/>
      <c r="G118" s="29"/>
      <c r="H118" s="29"/>
      <c r="I118" s="29"/>
      <c r="J118" s="29"/>
      <c r="K118" s="29"/>
      <c r="L118" s="29"/>
      <c r="M118" s="29"/>
      <c r="N118" s="29"/>
      <c r="O118" s="27"/>
      <c r="Q118" s="40" t="e">
        <f t="shared" si="13"/>
        <v>#VALUE!</v>
      </c>
      <c r="R118" s="40" t="e">
        <f t="shared" si="14"/>
        <v>#VALUE!</v>
      </c>
      <c r="S118" s="8">
        <f t="shared" si="15"/>
        <v>0</v>
      </c>
      <c r="T118" s="8">
        <f t="array" ref="T118">SUM(IF($F118:$O118&lt;TRANSPOSE($O$3:$O$12),ABS($F118:$O118-TRANSPOSE($O$3:$O$12)),"-"))+SUM(IF($F118:$O118&gt;TRANSPOSE($P$3:$P$12),ABS($F118:$O118-TRANSPOSE($P$3:$P$12)),"-"))</f>
        <v>0.08</v>
      </c>
      <c r="U118" s="8" t="e">
        <f t="array" ref="U118">SUM(IF(MMULT($F118:$O118,$B$17:$E$26)&lt;($B$28:$E$28),ABS(MMULT($F118:$O118,$B$17:$E$26)-$B$28:$E$28),"-"))+SUM(IF(MMULT($F118:$O118,$B$17:$E$26)&gt;($B$29:$E$29),(MMULT($F118:$O118,$B$17:$E$26)-$B$29:$E$29),"-"))</f>
        <v>#VALUE!</v>
      </c>
    </row>
    <row r="119" spans="1:21" x14ac:dyDescent="0.2">
      <c r="A119" s="1">
        <v>0.27794817515134718</v>
      </c>
      <c r="B119" s="47" t="e">
        <f t="array" ref="B119">SQRT(MMULT($F119:$O119,MMULT($B$3:$K$12,TRANSPOSE($F119:$O119))))</f>
        <v>#VALUE!</v>
      </c>
      <c r="C119" s="47" t="e">
        <f t="shared" si="7"/>
        <v>#VALUE!</v>
      </c>
      <c r="D119" s="52">
        <f t="shared" si="11"/>
        <v>0.06</v>
      </c>
      <c r="E119" s="34">
        <f t="shared" si="12"/>
        <v>0.13000000000000003</v>
      </c>
      <c r="F119" s="26"/>
      <c r="G119" s="29"/>
      <c r="H119" s="29"/>
      <c r="I119" s="29"/>
      <c r="J119" s="29"/>
      <c r="K119" s="29"/>
      <c r="L119" s="29"/>
      <c r="M119" s="29"/>
      <c r="N119" s="29"/>
      <c r="O119" s="27"/>
      <c r="Q119" s="40" t="e">
        <f t="shared" si="13"/>
        <v>#VALUE!</v>
      </c>
      <c r="R119" s="40" t="e">
        <f t="shared" si="14"/>
        <v>#VALUE!</v>
      </c>
      <c r="S119" s="8">
        <f t="shared" si="15"/>
        <v>0</v>
      </c>
      <c r="T119" s="8">
        <f t="array" ref="T119">SUM(IF($F119:$O119&lt;TRANSPOSE($O$3:$O$12),ABS($F119:$O119-TRANSPOSE($O$3:$O$12)),"-"))+SUM(IF($F119:$O119&gt;TRANSPOSE($P$3:$P$12),ABS($F119:$O119-TRANSPOSE($P$3:$P$12)),"-"))</f>
        <v>0.08</v>
      </c>
      <c r="U119" s="8" t="e">
        <f t="array" ref="U119">SUM(IF(MMULT($F119:$O119,$B$17:$E$26)&lt;($B$28:$E$28),ABS(MMULT($F119:$O119,$B$17:$E$26)-$B$28:$E$28),"-"))+SUM(IF(MMULT($F119:$O119,$B$17:$E$26)&gt;($B$29:$E$29),(MMULT($F119:$O119,$B$17:$E$26)-$B$29:$E$29),"-"))</f>
        <v>#VALUE!</v>
      </c>
    </row>
    <row r="120" spans="1:21" x14ac:dyDescent="0.2">
      <c r="A120" s="1">
        <v>0.31653587230342245</v>
      </c>
      <c r="B120" s="47" t="e">
        <f t="array" ref="B120">SQRT(MMULT($F120:$O120,MMULT($B$3:$K$12,TRANSPOSE($F120:$O120))))</f>
        <v>#VALUE!</v>
      </c>
      <c r="C120" s="47" t="e">
        <f t="shared" si="7"/>
        <v>#VALUE!</v>
      </c>
      <c r="D120" s="52">
        <f t="shared" si="11"/>
        <v>0.06</v>
      </c>
      <c r="E120" s="34">
        <f t="shared" si="12"/>
        <v>0.13500000000000004</v>
      </c>
      <c r="F120" s="26"/>
      <c r="G120" s="29"/>
      <c r="H120" s="29"/>
      <c r="I120" s="29"/>
      <c r="J120" s="29"/>
      <c r="K120" s="29"/>
      <c r="L120" s="29"/>
      <c r="M120" s="29"/>
      <c r="N120" s="29"/>
      <c r="O120" s="27"/>
      <c r="Q120" s="40" t="e">
        <f t="shared" si="13"/>
        <v>#VALUE!</v>
      </c>
      <c r="R120" s="40" t="e">
        <f t="shared" si="14"/>
        <v>#VALUE!</v>
      </c>
      <c r="S120" s="8">
        <f t="shared" si="15"/>
        <v>0</v>
      </c>
      <c r="T120" s="8">
        <f t="array" ref="T120">SUM(IF($F120:$O120&lt;TRANSPOSE($O$3:$O$12),ABS($F120:$O120-TRANSPOSE($O$3:$O$12)),"-"))+SUM(IF($F120:$O120&gt;TRANSPOSE($P$3:$P$12),ABS($F120:$O120-TRANSPOSE($P$3:$P$12)),"-"))</f>
        <v>0.08</v>
      </c>
      <c r="U120" s="8" t="e">
        <f t="array" ref="U120">SUM(IF(MMULT($F120:$O120,$B$17:$E$26)&lt;($B$28:$E$28),ABS(MMULT($F120:$O120,$B$17:$E$26)-$B$28:$E$28),"-"))+SUM(IF(MMULT($F120:$O120,$B$17:$E$26)&gt;($B$29:$E$29),(MMULT($F120:$O120,$B$17:$E$26)-$B$29:$E$29),"-"))</f>
        <v>#VALUE!</v>
      </c>
    </row>
    <row r="121" spans="1:21" x14ac:dyDescent="0.2">
      <c r="A121" s="1" t="e">
        <v>#N/A</v>
      </c>
      <c r="B121" s="47" t="e">
        <f t="array" ref="B121">SQRT(MMULT($F121:$O121,MMULT($B$3:$K$12,TRANSPOSE($F121:$O121))))</f>
        <v>#VALUE!</v>
      </c>
      <c r="C121" s="47" t="e">
        <f t="shared" si="7"/>
        <v>#VALUE!</v>
      </c>
      <c r="D121" s="52">
        <f t="shared" si="11"/>
        <v>0.06</v>
      </c>
      <c r="E121" s="34">
        <f t="shared" si="12"/>
        <v>0.14000000000000004</v>
      </c>
      <c r="F121" s="26"/>
      <c r="G121" s="29"/>
      <c r="H121" s="29"/>
      <c r="I121" s="29"/>
      <c r="J121" s="29"/>
      <c r="K121" s="29"/>
      <c r="L121" s="29"/>
      <c r="M121" s="29"/>
      <c r="N121" s="29"/>
      <c r="O121" s="27"/>
      <c r="Q121" s="40" t="e">
        <f t="shared" si="13"/>
        <v>#VALUE!</v>
      </c>
      <c r="R121" s="40" t="e">
        <f t="shared" si="14"/>
        <v>#VALUE!</v>
      </c>
      <c r="S121" s="8">
        <f t="shared" si="15"/>
        <v>0</v>
      </c>
      <c r="T121" s="8">
        <f t="array" ref="T121">SUM(IF($F121:$O121&lt;TRANSPOSE($O$3:$O$12),ABS($F121:$O121-TRANSPOSE($O$3:$O$12)),"-"))+SUM(IF($F121:$O121&gt;TRANSPOSE($P$3:$P$12),ABS($F121:$O121-TRANSPOSE($P$3:$P$12)),"-"))</f>
        <v>0.08</v>
      </c>
      <c r="U121" s="8" t="e">
        <f t="array" ref="U121">SUM(IF(MMULT($F121:$O121,$B$17:$E$26)&lt;($B$28:$E$28),ABS(MMULT($F121:$O121,$B$17:$E$26)-$B$28:$E$28),"-"))+SUM(IF(MMULT($F121:$O121,$B$17:$E$26)&gt;($B$29:$E$29),(MMULT($F121:$O121,$B$17:$E$26)-$B$29:$E$29),"-"))</f>
        <v>#VALUE!</v>
      </c>
    </row>
    <row r="122" spans="1:21" x14ac:dyDescent="0.2">
      <c r="A122" s="1" t="e">
        <v>#N/A</v>
      </c>
      <c r="B122" s="47" t="e">
        <f t="array" ref="B122">SQRT(MMULT($F122:$O122,MMULT($B$3:$K$12,TRANSPOSE($F122:$O122))))</f>
        <v>#VALUE!</v>
      </c>
      <c r="C122" s="47" t="e">
        <f t="shared" si="7"/>
        <v>#VALUE!</v>
      </c>
      <c r="D122" s="52">
        <f t="shared" si="11"/>
        <v>0.06</v>
      </c>
      <c r="E122" s="34">
        <f t="shared" si="12"/>
        <v>0.14500000000000005</v>
      </c>
      <c r="F122" s="26"/>
      <c r="G122" s="29"/>
      <c r="H122" s="29"/>
      <c r="I122" s="29"/>
      <c r="J122" s="29"/>
      <c r="K122" s="29"/>
      <c r="L122" s="29"/>
      <c r="M122" s="29"/>
      <c r="N122" s="29"/>
      <c r="O122" s="27"/>
      <c r="Q122" s="40" t="e">
        <f t="shared" si="13"/>
        <v>#VALUE!</v>
      </c>
      <c r="R122" s="40" t="e">
        <f t="shared" si="14"/>
        <v>#VALUE!</v>
      </c>
      <c r="S122" s="8">
        <f t="shared" si="15"/>
        <v>0</v>
      </c>
      <c r="T122" s="8">
        <f t="array" ref="T122">SUM(IF($F122:$O122&lt;TRANSPOSE($O$3:$O$12),ABS($F122:$O122-TRANSPOSE($O$3:$O$12)),"-"))+SUM(IF($F122:$O122&gt;TRANSPOSE($P$3:$P$12),ABS($F122:$O122-TRANSPOSE($P$3:$P$12)),"-"))</f>
        <v>0.08</v>
      </c>
      <c r="U122" s="8" t="e">
        <f t="array" ref="U122">SUM(IF(MMULT($F122:$O122,$B$17:$E$26)&lt;($B$28:$E$28),ABS(MMULT($F122:$O122,$B$17:$E$26)-$B$28:$E$28),"-"))+SUM(IF(MMULT($F122:$O122,$B$17:$E$26)&gt;($B$29:$E$29),(MMULT($F122:$O122,$B$17:$E$26)-$B$29:$E$29),"-"))</f>
        <v>#VALUE!</v>
      </c>
    </row>
    <row r="123" spans="1:21" x14ac:dyDescent="0.2">
      <c r="A123" s="1" t="e">
        <v>#N/A</v>
      </c>
      <c r="B123" s="47" t="e">
        <f t="array" ref="B123">SQRT(MMULT($F123:$O123,MMULT($B$3:$K$12,TRANSPOSE($F123:$O123))))</f>
        <v>#VALUE!</v>
      </c>
      <c r="C123" s="47" t="e">
        <f t="shared" si="7"/>
        <v>#VALUE!</v>
      </c>
      <c r="D123" s="52">
        <f t="shared" si="11"/>
        <v>0.06</v>
      </c>
      <c r="E123" s="34">
        <f t="shared" si="12"/>
        <v>0.15000000000000005</v>
      </c>
      <c r="F123" s="26"/>
      <c r="G123" s="29"/>
      <c r="H123" s="29"/>
      <c r="I123" s="29"/>
      <c r="J123" s="29"/>
      <c r="K123" s="29"/>
      <c r="L123" s="29"/>
      <c r="M123" s="29"/>
      <c r="N123" s="29"/>
      <c r="O123" s="27"/>
      <c r="Q123" s="40" t="e">
        <f t="shared" si="13"/>
        <v>#VALUE!</v>
      </c>
      <c r="R123" s="40" t="e">
        <f t="shared" si="14"/>
        <v>#VALUE!</v>
      </c>
      <c r="S123" s="8">
        <f t="shared" si="15"/>
        <v>0</v>
      </c>
      <c r="T123" s="8">
        <f t="array" ref="T123">SUM(IF($F123:$O123&lt;TRANSPOSE($O$3:$O$12),ABS($F123:$O123-TRANSPOSE($O$3:$O$12)),"-"))+SUM(IF($F123:$O123&gt;TRANSPOSE($P$3:$P$12),ABS($F123:$O123-TRANSPOSE($P$3:$P$12)),"-"))</f>
        <v>0.08</v>
      </c>
      <c r="U123" s="8" t="e">
        <f t="array" ref="U123">SUM(IF(MMULT($F123:$O123,$B$17:$E$26)&lt;($B$28:$E$28),ABS(MMULT($F123:$O123,$B$17:$E$26)-$B$28:$E$28),"-"))+SUM(IF(MMULT($F123:$O123,$B$17:$E$26)&gt;($B$29:$E$29),(MMULT($F123:$O123,$B$17:$E$26)-$B$29:$E$29),"-"))</f>
        <v>#VALUE!</v>
      </c>
    </row>
    <row r="124" spans="1:21" x14ac:dyDescent="0.2">
      <c r="A124" s="1" t="e">
        <v>#N/A</v>
      </c>
      <c r="B124" s="47" t="e">
        <f t="array" ref="B124">SQRT(MMULT($F124:$O124,MMULT($B$3:$K$12,TRANSPOSE($F124:$O124))))</f>
        <v>#VALUE!</v>
      </c>
      <c r="C124" s="47" t="e">
        <f t="shared" si="7"/>
        <v>#VALUE!</v>
      </c>
      <c r="D124" s="52">
        <f t="shared" si="11"/>
        <v>0.06</v>
      </c>
      <c r="E124" s="34">
        <f t="shared" si="12"/>
        <v>0.15500000000000005</v>
      </c>
      <c r="F124" s="26"/>
      <c r="G124" s="29"/>
      <c r="H124" s="29"/>
      <c r="I124" s="29"/>
      <c r="J124" s="29"/>
      <c r="K124" s="29"/>
      <c r="L124" s="29"/>
      <c r="M124" s="29"/>
      <c r="N124" s="29"/>
      <c r="O124" s="27"/>
      <c r="Q124" s="40" t="e">
        <f t="shared" si="13"/>
        <v>#VALUE!</v>
      </c>
      <c r="R124" s="40" t="e">
        <f t="shared" si="14"/>
        <v>#VALUE!</v>
      </c>
      <c r="S124" s="8">
        <f t="shared" si="15"/>
        <v>0</v>
      </c>
      <c r="T124" s="8">
        <f t="array" ref="T124">SUM(IF($F124:$O124&lt;TRANSPOSE($O$3:$O$12),ABS($F124:$O124-TRANSPOSE($O$3:$O$12)),"-"))+SUM(IF($F124:$O124&gt;TRANSPOSE($P$3:$P$12),ABS($F124:$O124-TRANSPOSE($P$3:$P$12)),"-"))</f>
        <v>0.08</v>
      </c>
      <c r="U124" s="8" t="e">
        <f t="array" ref="U124">SUM(IF(MMULT($F124:$O124,$B$17:$E$26)&lt;($B$28:$E$28),ABS(MMULT($F124:$O124,$B$17:$E$26)-$B$28:$E$28),"-"))+SUM(IF(MMULT($F124:$O124,$B$17:$E$26)&gt;($B$29:$E$29),(MMULT($F124:$O124,$B$17:$E$26)-$B$29:$E$29),"-"))</f>
        <v>#VALUE!</v>
      </c>
    </row>
    <row r="125" spans="1:21" x14ac:dyDescent="0.2">
      <c r="A125" s="1" t="e">
        <v>#N/A</v>
      </c>
      <c r="B125" s="47" t="e">
        <f t="array" ref="B125">SQRT(MMULT($F125:$O125,MMULT($B$3:$K$12,TRANSPOSE($F125:$O125))))</f>
        <v>#VALUE!</v>
      </c>
      <c r="C125" s="47" t="e">
        <f t="shared" si="7"/>
        <v>#VALUE!</v>
      </c>
      <c r="D125" s="52">
        <f t="shared" si="11"/>
        <v>0.06</v>
      </c>
      <c r="E125" s="34">
        <f t="shared" si="12"/>
        <v>0.16000000000000006</v>
      </c>
      <c r="F125" s="26"/>
      <c r="G125" s="29"/>
      <c r="H125" s="29"/>
      <c r="I125" s="29"/>
      <c r="J125" s="29"/>
      <c r="K125" s="29"/>
      <c r="L125" s="29"/>
      <c r="M125" s="29"/>
      <c r="N125" s="29"/>
      <c r="O125" s="27"/>
      <c r="Q125" s="40" t="e">
        <f t="shared" si="13"/>
        <v>#VALUE!</v>
      </c>
      <c r="R125" s="40" t="e">
        <f t="shared" si="14"/>
        <v>#VALUE!</v>
      </c>
      <c r="S125" s="8">
        <f t="shared" si="15"/>
        <v>0</v>
      </c>
      <c r="T125" s="8">
        <f t="array" ref="T125">SUM(IF($F125:$O125&lt;TRANSPOSE($O$3:$O$12),ABS($F125:$O125-TRANSPOSE($O$3:$O$12)),"-"))+SUM(IF($F125:$O125&gt;TRANSPOSE($P$3:$P$12),ABS($F125:$O125-TRANSPOSE($P$3:$P$12)),"-"))</f>
        <v>0.08</v>
      </c>
      <c r="U125" s="8" t="e">
        <f t="array" ref="U125">SUM(IF(MMULT($F125:$O125,$B$17:$E$26)&lt;($B$28:$E$28),ABS(MMULT($F125:$O125,$B$17:$E$26)-$B$28:$E$28),"-"))+SUM(IF(MMULT($F125:$O125,$B$17:$E$26)&gt;($B$29:$E$29),(MMULT($F125:$O125,$B$17:$E$26)-$B$29:$E$29),"-"))</f>
        <v>#VALUE!</v>
      </c>
    </row>
    <row r="126" spans="1:21" x14ac:dyDescent="0.2">
      <c r="A126" s="1" t="e">
        <v>#N/A</v>
      </c>
      <c r="B126" s="47" t="e">
        <f t="array" ref="B126">SQRT(MMULT($F126:$O126,MMULT($B$3:$K$12,TRANSPOSE($F126:$O126))))</f>
        <v>#VALUE!</v>
      </c>
      <c r="C126" s="47" t="e">
        <f t="shared" si="7"/>
        <v>#VALUE!</v>
      </c>
      <c r="D126" s="52">
        <f t="shared" si="11"/>
        <v>0.06</v>
      </c>
      <c r="E126" s="34">
        <f t="shared" si="12"/>
        <v>0.16500000000000006</v>
      </c>
      <c r="F126" s="26"/>
      <c r="G126" s="29"/>
      <c r="H126" s="29"/>
      <c r="I126" s="29"/>
      <c r="J126" s="29"/>
      <c r="K126" s="29"/>
      <c r="L126" s="29"/>
      <c r="M126" s="29"/>
      <c r="N126" s="29"/>
      <c r="O126" s="27"/>
      <c r="Q126" s="40" t="e">
        <f t="shared" si="13"/>
        <v>#VALUE!</v>
      </c>
      <c r="R126" s="40" t="e">
        <f t="shared" si="14"/>
        <v>#VALUE!</v>
      </c>
      <c r="S126" s="8">
        <f t="shared" si="15"/>
        <v>0</v>
      </c>
      <c r="T126" s="8">
        <f t="array" ref="T126">SUM(IF($F126:$O126&lt;TRANSPOSE($O$3:$O$12),ABS($F126:$O126-TRANSPOSE($O$3:$O$12)),"-"))+SUM(IF($F126:$O126&gt;TRANSPOSE($P$3:$P$12),ABS($F126:$O126-TRANSPOSE($P$3:$P$12)),"-"))</f>
        <v>0.08</v>
      </c>
      <c r="U126" s="8" t="e">
        <f t="array" ref="U126">SUM(IF(MMULT($F126:$O126,$B$17:$E$26)&lt;($B$28:$E$28),ABS(MMULT($F126:$O126,$B$17:$E$26)-$B$28:$E$28),"-"))+SUM(IF(MMULT($F126:$O126,$B$17:$E$26)&gt;($B$29:$E$29),(MMULT($F126:$O126,$B$17:$E$26)-$B$29:$E$29),"-"))</f>
        <v>#VALUE!</v>
      </c>
    </row>
    <row r="127" spans="1:21" x14ac:dyDescent="0.2">
      <c r="A127" s="1" t="e">
        <v>#N/A</v>
      </c>
      <c r="B127" s="47" t="e">
        <f t="array" ref="B127">SQRT(MMULT($F127:$O127,MMULT($B$3:$K$12,TRANSPOSE($F127:$O127))))</f>
        <v>#VALUE!</v>
      </c>
      <c r="C127" s="47" t="e">
        <f t="shared" si="7"/>
        <v>#VALUE!</v>
      </c>
      <c r="D127" s="52">
        <f t="shared" si="11"/>
        <v>0.06</v>
      </c>
      <c r="E127" s="34">
        <f t="shared" si="12"/>
        <v>0.17000000000000007</v>
      </c>
      <c r="F127" s="26"/>
      <c r="G127" s="29"/>
      <c r="H127" s="29"/>
      <c r="I127" s="29"/>
      <c r="J127" s="29"/>
      <c r="K127" s="29"/>
      <c r="L127" s="29"/>
      <c r="M127" s="29"/>
      <c r="N127" s="29"/>
      <c r="O127" s="27"/>
      <c r="Q127" s="40" t="e">
        <f t="shared" si="13"/>
        <v>#VALUE!</v>
      </c>
      <c r="R127" s="40" t="e">
        <f t="shared" si="14"/>
        <v>#VALUE!</v>
      </c>
      <c r="S127" s="8">
        <f t="shared" si="15"/>
        <v>0</v>
      </c>
      <c r="T127" s="8">
        <f t="array" ref="T127">SUM(IF($F127:$O127&lt;TRANSPOSE($O$3:$O$12),ABS($F127:$O127-TRANSPOSE($O$3:$O$12)),"-"))+SUM(IF($F127:$O127&gt;TRANSPOSE($P$3:$P$12),ABS($F127:$O127-TRANSPOSE($P$3:$P$12)),"-"))</f>
        <v>0.08</v>
      </c>
      <c r="U127" s="8" t="e">
        <f t="array" ref="U127">SUM(IF(MMULT($F127:$O127,$B$17:$E$26)&lt;($B$28:$E$28),ABS(MMULT($F127:$O127,$B$17:$E$26)-$B$28:$E$28),"-"))+SUM(IF(MMULT($F127:$O127,$B$17:$E$26)&gt;($B$29:$E$29),(MMULT($F127:$O127,$B$17:$E$26)-$B$29:$E$29),"-"))</f>
        <v>#VALUE!</v>
      </c>
    </row>
    <row r="128" spans="1:21" x14ac:dyDescent="0.2">
      <c r="A128" s="1" t="e">
        <v>#N/A</v>
      </c>
      <c r="B128" s="47" t="e">
        <f t="array" ref="B128">SQRT(MMULT($F128:$O128,MMULT($B$3:$K$12,TRANSPOSE($F128:$O128))))</f>
        <v>#VALUE!</v>
      </c>
      <c r="C128" s="47" t="e">
        <f t="shared" si="7"/>
        <v>#VALUE!</v>
      </c>
      <c r="D128" s="52">
        <f t="shared" si="11"/>
        <v>0.08</v>
      </c>
      <c r="E128" s="34">
        <f t="shared" si="12"/>
        <v>0.09</v>
      </c>
      <c r="F128" s="26"/>
      <c r="G128" s="29"/>
      <c r="H128" s="29"/>
      <c r="I128" s="29"/>
      <c r="J128" s="29"/>
      <c r="K128" s="29"/>
      <c r="L128" s="29"/>
      <c r="M128" s="29"/>
      <c r="N128" s="29"/>
      <c r="O128" s="27"/>
      <c r="Q128" s="40" t="e">
        <f t="shared" si="13"/>
        <v>#VALUE!</v>
      </c>
      <c r="R128" s="40" t="e">
        <f t="shared" si="14"/>
        <v>#VALUE!</v>
      </c>
      <c r="S128" s="8">
        <f t="shared" si="15"/>
        <v>0</v>
      </c>
      <c r="T128" s="8">
        <f t="array" ref="T128">SUM(IF($F128:$O128&lt;TRANSPOSE($O$3:$O$12),ABS($F128:$O128-TRANSPOSE($O$3:$O$12)),"-"))+SUM(IF($F128:$O128&gt;TRANSPOSE($P$3:$P$12),ABS($F128:$O128-TRANSPOSE($P$3:$P$12)),"-"))</f>
        <v>0.08</v>
      </c>
      <c r="U128" s="8" t="e">
        <f t="array" ref="U128">SUM(IF(MMULT($F128:$O128,$B$17:$E$26)&lt;($B$28:$E$28),ABS(MMULT($F128:$O128,$B$17:$E$26)-$B$28:$E$28),"-"))+SUM(IF(MMULT($F128:$O128,$B$17:$E$26)&gt;($B$29:$E$29),(MMULT($F128:$O128,$B$17:$E$26)-$B$29:$E$29),"-"))</f>
        <v>#VALUE!</v>
      </c>
    </row>
    <row r="129" spans="1:21" x14ac:dyDescent="0.2">
      <c r="A129" s="1" t="e">
        <v>#N/A</v>
      </c>
      <c r="B129" s="47" t="e">
        <f t="array" ref="B129">SQRT(MMULT($F129:$O129,MMULT($B$3:$K$12,TRANSPOSE($F129:$O129))))</f>
        <v>#VALUE!</v>
      </c>
      <c r="C129" s="47" t="e">
        <f t="shared" si="7"/>
        <v>#VALUE!</v>
      </c>
      <c r="D129" s="52">
        <f t="shared" si="11"/>
        <v>0.08</v>
      </c>
      <c r="E129" s="34">
        <f t="shared" si="12"/>
        <v>9.5000000000000001E-2</v>
      </c>
      <c r="F129" s="26"/>
      <c r="G129" s="29"/>
      <c r="H129" s="29"/>
      <c r="I129" s="29"/>
      <c r="J129" s="29"/>
      <c r="K129" s="29"/>
      <c r="L129" s="29"/>
      <c r="M129" s="29"/>
      <c r="N129" s="29"/>
      <c r="O129" s="27"/>
      <c r="Q129" s="40" t="e">
        <f t="shared" si="13"/>
        <v>#VALUE!</v>
      </c>
      <c r="R129" s="40" t="e">
        <f t="shared" si="14"/>
        <v>#VALUE!</v>
      </c>
      <c r="S129" s="8">
        <f t="shared" si="15"/>
        <v>0</v>
      </c>
      <c r="T129" s="8">
        <f t="array" ref="T129">SUM(IF($F129:$O129&lt;TRANSPOSE($O$3:$O$12),ABS($F129:$O129-TRANSPOSE($O$3:$O$12)),"-"))+SUM(IF($F129:$O129&gt;TRANSPOSE($P$3:$P$12),ABS($F129:$O129-TRANSPOSE($P$3:$P$12)),"-"))</f>
        <v>0.08</v>
      </c>
      <c r="U129" s="8" t="e">
        <f t="array" ref="U129">SUM(IF(MMULT($F129:$O129,$B$17:$E$26)&lt;($B$28:$E$28),ABS(MMULT($F129:$O129,$B$17:$E$26)-$B$28:$E$28),"-"))+SUM(IF(MMULT($F129:$O129,$B$17:$E$26)&gt;($B$29:$E$29),(MMULT($F129:$O129,$B$17:$E$26)-$B$29:$E$29),"-"))</f>
        <v>#VALUE!</v>
      </c>
    </row>
    <row r="130" spans="1:21" x14ac:dyDescent="0.2">
      <c r="A130" s="1" t="e">
        <v>#N/A</v>
      </c>
      <c r="B130" s="47" t="e">
        <f t="array" ref="B130">SQRT(MMULT($F130:$O130,MMULT($B$3:$K$12,TRANSPOSE($F130:$O130))))</f>
        <v>#VALUE!</v>
      </c>
      <c r="C130" s="47" t="e">
        <f t="shared" si="7"/>
        <v>#VALUE!</v>
      </c>
      <c r="D130" s="52">
        <f t="shared" si="11"/>
        <v>0.08</v>
      </c>
      <c r="E130" s="34">
        <f t="shared" si="12"/>
        <v>0.1</v>
      </c>
      <c r="F130" s="26"/>
      <c r="G130" s="29"/>
      <c r="H130" s="29"/>
      <c r="I130" s="29"/>
      <c r="J130" s="29"/>
      <c r="K130" s="29"/>
      <c r="L130" s="29"/>
      <c r="M130" s="29"/>
      <c r="N130" s="29"/>
      <c r="O130" s="27"/>
      <c r="Q130" s="40" t="e">
        <f t="shared" si="13"/>
        <v>#VALUE!</v>
      </c>
      <c r="R130" s="40" t="e">
        <f t="shared" si="14"/>
        <v>#VALUE!</v>
      </c>
      <c r="S130" s="8">
        <f t="shared" si="15"/>
        <v>0</v>
      </c>
      <c r="T130" s="8">
        <f t="array" ref="T130">SUM(IF($F130:$O130&lt;TRANSPOSE($O$3:$O$12),ABS($F130:$O130-TRANSPOSE($O$3:$O$12)),"-"))+SUM(IF($F130:$O130&gt;TRANSPOSE($P$3:$P$12),ABS($F130:$O130-TRANSPOSE($P$3:$P$12)),"-"))</f>
        <v>0.08</v>
      </c>
      <c r="U130" s="8" t="e">
        <f t="array" ref="U130">SUM(IF(MMULT($F130:$O130,$B$17:$E$26)&lt;($B$28:$E$28),ABS(MMULT($F130:$O130,$B$17:$E$26)-$B$28:$E$28),"-"))+SUM(IF(MMULT($F130:$O130,$B$17:$E$26)&gt;($B$29:$E$29),(MMULT($F130:$O130,$B$17:$E$26)-$B$29:$E$29),"-"))</f>
        <v>#VALUE!</v>
      </c>
    </row>
    <row r="131" spans="1:21" x14ac:dyDescent="0.2">
      <c r="A131" s="1" t="e">
        <v>#N/A</v>
      </c>
      <c r="B131" s="47" t="e">
        <f t="array" ref="B131">SQRT(MMULT($F131:$O131,MMULT($B$3:$K$12,TRANSPOSE($F131:$O131))))</f>
        <v>#VALUE!</v>
      </c>
      <c r="C131" s="47" t="e">
        <f t="shared" si="7"/>
        <v>#VALUE!</v>
      </c>
      <c r="D131" s="52">
        <f t="shared" si="11"/>
        <v>0.08</v>
      </c>
      <c r="E131" s="34">
        <f t="shared" si="12"/>
        <v>0.10500000000000001</v>
      </c>
      <c r="F131" s="26"/>
      <c r="G131" s="29"/>
      <c r="H131" s="29"/>
      <c r="I131" s="29"/>
      <c r="J131" s="29"/>
      <c r="K131" s="29"/>
      <c r="L131" s="29"/>
      <c r="M131" s="29"/>
      <c r="N131" s="29"/>
      <c r="O131" s="27"/>
      <c r="Q131" s="40" t="e">
        <f t="shared" si="13"/>
        <v>#VALUE!</v>
      </c>
      <c r="R131" s="40" t="e">
        <f t="shared" si="14"/>
        <v>#VALUE!</v>
      </c>
      <c r="S131" s="8">
        <f t="shared" si="15"/>
        <v>0</v>
      </c>
      <c r="T131" s="8">
        <f t="array" ref="T131">SUM(IF($F131:$O131&lt;TRANSPOSE($O$3:$O$12),ABS($F131:$O131-TRANSPOSE($O$3:$O$12)),"-"))+SUM(IF($F131:$O131&gt;TRANSPOSE($P$3:$P$12),ABS($F131:$O131-TRANSPOSE($P$3:$P$12)),"-"))</f>
        <v>0.08</v>
      </c>
      <c r="U131" s="8" t="e">
        <f t="array" ref="U131">SUM(IF(MMULT($F131:$O131,$B$17:$E$26)&lt;($B$28:$E$28),ABS(MMULT($F131:$O131,$B$17:$E$26)-$B$28:$E$28),"-"))+SUM(IF(MMULT($F131:$O131,$B$17:$E$26)&gt;($B$29:$E$29),(MMULT($F131:$O131,$B$17:$E$26)-$B$29:$E$29),"-"))</f>
        <v>#VALUE!</v>
      </c>
    </row>
    <row r="132" spans="1:21" x14ac:dyDescent="0.2">
      <c r="A132" s="1" t="e">
        <v>#N/A</v>
      </c>
      <c r="B132" s="47" t="e">
        <f t="array" ref="B132">SQRT(MMULT($F132:$O132,MMULT($B$3:$K$12,TRANSPOSE($F132:$O132))))</f>
        <v>#VALUE!</v>
      </c>
      <c r="C132" s="47" t="e">
        <f t="shared" si="7"/>
        <v>#VALUE!</v>
      </c>
      <c r="D132" s="52">
        <f t="shared" si="11"/>
        <v>0.08</v>
      </c>
      <c r="E132" s="34">
        <f t="shared" si="12"/>
        <v>0.11000000000000001</v>
      </c>
      <c r="F132" s="26"/>
      <c r="G132" s="29"/>
      <c r="H132" s="29"/>
      <c r="I132" s="29"/>
      <c r="J132" s="29"/>
      <c r="K132" s="29"/>
      <c r="L132" s="29"/>
      <c r="M132" s="29"/>
      <c r="N132" s="29"/>
      <c r="O132" s="27"/>
      <c r="Q132" s="40" t="e">
        <f t="shared" si="13"/>
        <v>#VALUE!</v>
      </c>
      <c r="R132" s="40" t="e">
        <f t="shared" si="14"/>
        <v>#VALUE!</v>
      </c>
      <c r="S132" s="8">
        <f t="shared" si="15"/>
        <v>0</v>
      </c>
      <c r="T132" s="8">
        <f t="array" ref="T132">SUM(IF($F132:$O132&lt;TRANSPOSE($O$3:$O$12),ABS($F132:$O132-TRANSPOSE($O$3:$O$12)),"-"))+SUM(IF($F132:$O132&gt;TRANSPOSE($P$3:$P$12),ABS($F132:$O132-TRANSPOSE($P$3:$P$12)),"-"))</f>
        <v>0.08</v>
      </c>
      <c r="U132" s="8" t="e">
        <f t="array" ref="U132">SUM(IF(MMULT($F132:$O132,$B$17:$E$26)&lt;($B$28:$E$28),ABS(MMULT($F132:$O132,$B$17:$E$26)-$B$28:$E$28),"-"))+SUM(IF(MMULT($F132:$O132,$B$17:$E$26)&gt;($B$29:$E$29),(MMULT($F132:$O132,$B$17:$E$26)-$B$29:$E$29),"-"))</f>
        <v>#VALUE!</v>
      </c>
    </row>
    <row r="133" spans="1:21" x14ac:dyDescent="0.2">
      <c r="A133" s="1">
        <v>0.38749394928680059</v>
      </c>
      <c r="B133" s="47" t="e">
        <f t="array" ref="B133">SQRT(MMULT($F133:$O133,MMULT($B$3:$K$12,TRANSPOSE($F133:$O133))))</f>
        <v>#VALUE!</v>
      </c>
      <c r="C133" s="47" t="e">
        <f t="shared" si="7"/>
        <v>#VALUE!</v>
      </c>
      <c r="D133" s="52">
        <f t="shared" si="11"/>
        <v>0.08</v>
      </c>
      <c r="E133" s="34">
        <f t="shared" si="12"/>
        <v>0.11500000000000002</v>
      </c>
      <c r="F133" s="26"/>
      <c r="G133" s="29"/>
      <c r="H133" s="29"/>
      <c r="I133" s="29"/>
      <c r="J133" s="29"/>
      <c r="K133" s="29"/>
      <c r="L133" s="29"/>
      <c r="M133" s="29"/>
      <c r="N133" s="29"/>
      <c r="O133" s="27"/>
      <c r="Q133" s="40" t="e">
        <f t="shared" si="13"/>
        <v>#VALUE!</v>
      </c>
      <c r="R133" s="40" t="e">
        <f t="shared" si="14"/>
        <v>#VALUE!</v>
      </c>
      <c r="S133" s="8">
        <f t="shared" si="15"/>
        <v>0</v>
      </c>
      <c r="T133" s="8">
        <f t="array" ref="T133">SUM(IF($F133:$O133&lt;TRANSPOSE($O$3:$O$12),ABS($F133:$O133-TRANSPOSE($O$3:$O$12)),"-"))+SUM(IF($F133:$O133&gt;TRANSPOSE($P$3:$P$12),ABS($F133:$O133-TRANSPOSE($P$3:$P$12)),"-"))</f>
        <v>0.08</v>
      </c>
      <c r="U133" s="8" t="e">
        <f t="array" ref="U133">SUM(IF(MMULT($F133:$O133,$B$17:$E$26)&lt;($B$28:$E$28),ABS(MMULT($F133:$O133,$B$17:$E$26)-$B$28:$E$28),"-"))+SUM(IF(MMULT($F133:$O133,$B$17:$E$26)&gt;($B$29:$E$29),(MMULT($F133:$O133,$B$17:$E$26)-$B$29:$E$29),"-"))</f>
        <v>#VALUE!</v>
      </c>
    </row>
    <row r="134" spans="1:21" x14ac:dyDescent="0.2">
      <c r="A134" s="1">
        <v>0.37341317615803205</v>
      </c>
      <c r="B134" s="47" t="e">
        <f t="array" ref="B134">SQRT(MMULT($F134:$O134,MMULT($B$3:$K$12,TRANSPOSE($F134:$O134))))</f>
        <v>#VALUE!</v>
      </c>
      <c r="C134" s="47" t="e">
        <f t="shared" si="7"/>
        <v>#VALUE!</v>
      </c>
      <c r="D134" s="52">
        <f t="shared" si="11"/>
        <v>0.08</v>
      </c>
      <c r="E134" s="34">
        <f t="shared" si="12"/>
        <v>0.12000000000000002</v>
      </c>
      <c r="F134" s="26"/>
      <c r="G134" s="29"/>
      <c r="H134" s="29"/>
      <c r="I134" s="29"/>
      <c r="J134" s="29"/>
      <c r="K134" s="29"/>
      <c r="L134" s="29"/>
      <c r="M134" s="29"/>
      <c r="N134" s="29"/>
      <c r="O134" s="27"/>
      <c r="Q134" s="40" t="e">
        <f t="shared" si="13"/>
        <v>#VALUE!</v>
      </c>
      <c r="R134" s="40" t="e">
        <f t="shared" si="14"/>
        <v>#VALUE!</v>
      </c>
      <c r="S134" s="8">
        <f t="shared" si="15"/>
        <v>0</v>
      </c>
      <c r="T134" s="8">
        <f t="array" ref="T134">SUM(IF($F134:$O134&lt;TRANSPOSE($O$3:$O$12),ABS($F134:$O134-TRANSPOSE($O$3:$O$12)),"-"))+SUM(IF($F134:$O134&gt;TRANSPOSE($P$3:$P$12),ABS($F134:$O134-TRANSPOSE($P$3:$P$12)),"-"))</f>
        <v>0.08</v>
      </c>
      <c r="U134" s="8" t="e">
        <f t="array" ref="U134">SUM(IF(MMULT($F134:$O134,$B$17:$E$26)&lt;($B$28:$E$28),ABS(MMULT($F134:$O134,$B$17:$E$26)-$B$28:$E$28),"-"))+SUM(IF(MMULT($F134:$O134,$B$17:$E$26)&gt;($B$29:$E$29),(MMULT($F134:$O134,$B$17:$E$26)-$B$29:$E$29),"-"))</f>
        <v>#VALUE!</v>
      </c>
    </row>
    <row r="135" spans="1:21" x14ac:dyDescent="0.2">
      <c r="A135" s="1">
        <v>0.35609451371059636</v>
      </c>
      <c r="B135" s="47" t="e">
        <f t="array" ref="B135">SQRT(MMULT($F135:$O135,MMULT($B$3:$K$12,TRANSPOSE($F135:$O135))))</f>
        <v>#VALUE!</v>
      </c>
      <c r="C135" s="47" t="e">
        <f t="shared" si="7"/>
        <v>#VALUE!</v>
      </c>
      <c r="D135" s="52">
        <f t="shared" si="11"/>
        <v>0.08</v>
      </c>
      <c r="E135" s="34">
        <f t="shared" si="12"/>
        <v>0.12500000000000003</v>
      </c>
      <c r="F135" s="26"/>
      <c r="G135" s="29"/>
      <c r="H135" s="29"/>
      <c r="I135" s="29"/>
      <c r="J135" s="29"/>
      <c r="K135" s="29"/>
      <c r="L135" s="29"/>
      <c r="M135" s="29"/>
      <c r="N135" s="29"/>
      <c r="O135" s="27"/>
      <c r="Q135" s="40" t="e">
        <f t="shared" si="13"/>
        <v>#VALUE!</v>
      </c>
      <c r="R135" s="40" t="e">
        <f t="shared" si="14"/>
        <v>#VALUE!</v>
      </c>
      <c r="S135" s="8">
        <f t="shared" si="15"/>
        <v>0</v>
      </c>
      <c r="T135" s="8">
        <f t="array" ref="T135">SUM(IF($F135:$O135&lt;TRANSPOSE($O$3:$O$12),ABS($F135:$O135-TRANSPOSE($O$3:$O$12)),"-"))+SUM(IF($F135:$O135&gt;TRANSPOSE($P$3:$P$12),ABS($F135:$O135-TRANSPOSE($P$3:$P$12)),"-"))</f>
        <v>0.08</v>
      </c>
      <c r="U135" s="8" t="e">
        <f t="array" ref="U135">SUM(IF(MMULT($F135:$O135,$B$17:$E$26)&lt;($B$28:$E$28),ABS(MMULT($F135:$O135,$B$17:$E$26)-$B$28:$E$28),"-"))+SUM(IF(MMULT($F135:$O135,$B$17:$E$26)&gt;($B$29:$E$29),(MMULT($F135:$O135,$B$17:$E$26)-$B$29:$E$29),"-"))</f>
        <v>#VALUE!</v>
      </c>
    </row>
    <row r="136" spans="1:21" x14ac:dyDescent="0.2">
      <c r="A136" s="1">
        <v>0.33675478189540403</v>
      </c>
      <c r="B136" s="47" t="e">
        <f t="array" ref="B136">SQRT(MMULT($F136:$O136,MMULT($B$3:$K$12,TRANSPOSE($F136:$O136))))</f>
        <v>#VALUE!</v>
      </c>
      <c r="C136" s="47" t="e">
        <f t="shared" si="7"/>
        <v>#VALUE!</v>
      </c>
      <c r="D136" s="52">
        <f t="shared" si="11"/>
        <v>0.08</v>
      </c>
      <c r="E136" s="34">
        <f t="shared" si="12"/>
        <v>0.13000000000000003</v>
      </c>
      <c r="F136" s="26"/>
      <c r="G136" s="29"/>
      <c r="H136" s="29"/>
      <c r="I136" s="29"/>
      <c r="J136" s="29"/>
      <c r="K136" s="29"/>
      <c r="L136" s="29"/>
      <c r="M136" s="29"/>
      <c r="N136" s="29"/>
      <c r="O136" s="27"/>
      <c r="Q136" s="40" t="e">
        <f t="shared" si="13"/>
        <v>#VALUE!</v>
      </c>
      <c r="R136" s="40" t="e">
        <f t="shared" si="14"/>
        <v>#VALUE!</v>
      </c>
      <c r="S136" s="8">
        <f t="shared" si="15"/>
        <v>0</v>
      </c>
      <c r="T136" s="8">
        <f t="array" ref="T136">SUM(IF($F136:$O136&lt;TRANSPOSE($O$3:$O$12),ABS($F136:$O136-TRANSPOSE($O$3:$O$12)),"-"))+SUM(IF($F136:$O136&gt;TRANSPOSE($P$3:$P$12),ABS($F136:$O136-TRANSPOSE($P$3:$P$12)),"-"))</f>
        <v>0.08</v>
      </c>
      <c r="U136" s="8" t="e">
        <f t="array" ref="U136">SUM(IF(MMULT($F136:$O136,$B$17:$E$26)&lt;($B$28:$E$28),ABS(MMULT($F136:$O136,$B$17:$E$26)-$B$28:$E$28),"-"))+SUM(IF(MMULT($F136:$O136,$B$17:$E$26)&gt;($B$29:$E$29),(MMULT($F136:$O136,$B$17:$E$26)-$B$29:$E$29),"-"))</f>
        <v>#VALUE!</v>
      </c>
    </row>
    <row r="137" spans="1:21" x14ac:dyDescent="0.2">
      <c r="A137" s="1">
        <v>0.36837969828560252</v>
      </c>
      <c r="B137" s="47" t="e">
        <f t="array" ref="B137">SQRT(MMULT($F137:$O137,MMULT($B$3:$K$12,TRANSPOSE($F137:$O137))))</f>
        <v>#VALUE!</v>
      </c>
      <c r="C137" s="47" t="e">
        <f t="shared" si="7"/>
        <v>#VALUE!</v>
      </c>
      <c r="D137" s="52">
        <f t="shared" si="11"/>
        <v>0.08</v>
      </c>
      <c r="E137" s="34">
        <f t="shared" si="12"/>
        <v>0.13500000000000004</v>
      </c>
      <c r="F137" s="26"/>
      <c r="G137" s="29"/>
      <c r="H137" s="29"/>
      <c r="I137" s="29"/>
      <c r="J137" s="29"/>
      <c r="K137" s="29"/>
      <c r="L137" s="29"/>
      <c r="M137" s="29"/>
      <c r="N137" s="29"/>
      <c r="O137" s="27"/>
      <c r="Q137" s="40" t="e">
        <f t="shared" si="13"/>
        <v>#VALUE!</v>
      </c>
      <c r="R137" s="40" t="e">
        <f t="shared" si="14"/>
        <v>#VALUE!</v>
      </c>
      <c r="S137" s="8">
        <f t="shared" si="15"/>
        <v>0</v>
      </c>
      <c r="T137" s="8">
        <f t="array" ref="T137">SUM(IF($F137:$O137&lt;TRANSPOSE($O$3:$O$12),ABS($F137:$O137-TRANSPOSE($O$3:$O$12)),"-"))+SUM(IF($F137:$O137&gt;TRANSPOSE($P$3:$P$12),ABS($F137:$O137-TRANSPOSE($P$3:$P$12)),"-"))</f>
        <v>0.08</v>
      </c>
      <c r="U137" s="8" t="e">
        <f t="array" ref="U137">SUM(IF(MMULT($F137:$O137,$B$17:$E$26)&lt;($B$28:$E$28),ABS(MMULT($F137:$O137,$B$17:$E$26)-$B$28:$E$28),"-"))+SUM(IF(MMULT($F137:$O137,$B$17:$E$26)&gt;($B$29:$E$29),(MMULT($F137:$O137,$B$17:$E$26)-$B$29:$E$29),"-"))</f>
        <v>#VALUE!</v>
      </c>
    </row>
    <row r="138" spans="1:21" x14ac:dyDescent="0.2">
      <c r="A138" s="1">
        <v>0.40556394326277978</v>
      </c>
      <c r="B138" s="47" t="e">
        <f t="array" ref="B138">SQRT(MMULT($F138:$O138,MMULT($B$3:$K$12,TRANSPOSE($F138:$O138))))</f>
        <v>#VALUE!</v>
      </c>
      <c r="C138" s="47" t="e">
        <f t="shared" si="7"/>
        <v>#VALUE!</v>
      </c>
      <c r="D138" s="52">
        <f t="shared" si="11"/>
        <v>0.08</v>
      </c>
      <c r="E138" s="34">
        <f t="shared" si="12"/>
        <v>0.14000000000000004</v>
      </c>
      <c r="F138" s="26"/>
      <c r="G138" s="29"/>
      <c r="H138" s="29"/>
      <c r="I138" s="29"/>
      <c r="J138" s="29"/>
      <c r="K138" s="29"/>
      <c r="L138" s="29"/>
      <c r="M138" s="29"/>
      <c r="N138" s="29"/>
      <c r="O138" s="27"/>
      <c r="Q138" s="40" t="e">
        <f t="shared" si="13"/>
        <v>#VALUE!</v>
      </c>
      <c r="R138" s="40" t="e">
        <f t="shared" si="14"/>
        <v>#VALUE!</v>
      </c>
      <c r="S138" s="8">
        <f t="shared" si="15"/>
        <v>0</v>
      </c>
      <c r="T138" s="8">
        <f t="array" ref="T138">SUM(IF($F138:$O138&lt;TRANSPOSE($O$3:$O$12),ABS($F138:$O138-TRANSPOSE($O$3:$O$12)),"-"))+SUM(IF($F138:$O138&gt;TRANSPOSE($P$3:$P$12),ABS($F138:$O138-TRANSPOSE($P$3:$P$12)),"-"))</f>
        <v>0.08</v>
      </c>
      <c r="U138" s="8" t="e">
        <f t="array" ref="U138">SUM(IF(MMULT($F138:$O138,$B$17:$E$26)&lt;($B$28:$E$28),ABS(MMULT($F138:$O138,$B$17:$E$26)-$B$28:$E$28),"-"))+SUM(IF(MMULT($F138:$O138,$B$17:$E$26)&gt;($B$29:$E$29),(MMULT($F138:$O138,$B$17:$E$26)-$B$29:$E$29),"-"))</f>
        <v>#VALUE!</v>
      </c>
    </row>
    <row r="139" spans="1:21" x14ac:dyDescent="0.2">
      <c r="A139" s="1">
        <v>0.44139587309746386</v>
      </c>
      <c r="B139" s="47" t="e">
        <f t="array" ref="B139">SQRT(MMULT($F139:$O139,MMULT($B$3:$K$12,TRANSPOSE($F139:$O139))))</f>
        <v>#VALUE!</v>
      </c>
      <c r="C139" s="47" t="e">
        <f t="shared" si="7"/>
        <v>#VALUE!</v>
      </c>
      <c r="D139" s="52">
        <f t="shared" si="11"/>
        <v>0.08</v>
      </c>
      <c r="E139" s="34">
        <f t="shared" si="12"/>
        <v>0.14500000000000005</v>
      </c>
      <c r="F139" s="26"/>
      <c r="G139" s="29"/>
      <c r="H139" s="29"/>
      <c r="I139" s="29"/>
      <c r="J139" s="29"/>
      <c r="K139" s="29"/>
      <c r="L139" s="29"/>
      <c r="M139" s="29"/>
      <c r="N139" s="29"/>
      <c r="O139" s="27"/>
      <c r="Q139" s="40" t="e">
        <f t="shared" si="13"/>
        <v>#VALUE!</v>
      </c>
      <c r="R139" s="40" t="e">
        <f t="shared" si="14"/>
        <v>#VALUE!</v>
      </c>
      <c r="S139" s="8">
        <f t="shared" si="15"/>
        <v>0</v>
      </c>
      <c r="T139" s="8">
        <f t="array" ref="T139">SUM(IF($F139:$O139&lt;TRANSPOSE($O$3:$O$12),ABS($F139:$O139-TRANSPOSE($O$3:$O$12)),"-"))+SUM(IF($F139:$O139&gt;TRANSPOSE($P$3:$P$12),ABS($F139:$O139-TRANSPOSE($P$3:$P$12)),"-"))</f>
        <v>0.08</v>
      </c>
      <c r="U139" s="8" t="e">
        <f t="array" ref="U139">SUM(IF(MMULT($F139:$O139,$B$17:$E$26)&lt;($B$28:$E$28),ABS(MMULT($F139:$O139,$B$17:$E$26)-$B$28:$E$28),"-"))+SUM(IF(MMULT($F139:$O139,$B$17:$E$26)&gt;($B$29:$E$29),(MMULT($F139:$O139,$B$17:$E$26)-$B$29:$E$29),"-"))</f>
        <v>#VALUE!</v>
      </c>
    </row>
    <row r="140" spans="1:21" x14ac:dyDescent="0.2">
      <c r="A140" s="1" t="e">
        <v>#N/A</v>
      </c>
      <c r="B140" s="47" t="e">
        <f t="array" ref="B140">SQRT(MMULT($F140:$O140,MMULT($B$3:$K$12,TRANSPOSE($F140:$O140))))</f>
        <v>#VALUE!</v>
      </c>
      <c r="C140" s="47" t="e">
        <f t="shared" si="7"/>
        <v>#VALUE!</v>
      </c>
      <c r="D140" s="52">
        <f t="shared" si="11"/>
        <v>0.08</v>
      </c>
      <c r="E140" s="34">
        <f t="shared" si="12"/>
        <v>0.15000000000000005</v>
      </c>
      <c r="F140" s="26"/>
      <c r="G140" s="29"/>
      <c r="H140" s="29"/>
      <c r="I140" s="29"/>
      <c r="J140" s="29"/>
      <c r="K140" s="29"/>
      <c r="L140" s="29"/>
      <c r="M140" s="29"/>
      <c r="N140" s="29"/>
      <c r="O140" s="27"/>
      <c r="Q140" s="40" t="e">
        <f t="shared" si="13"/>
        <v>#VALUE!</v>
      </c>
      <c r="R140" s="40" t="e">
        <f t="shared" si="14"/>
        <v>#VALUE!</v>
      </c>
      <c r="S140" s="8">
        <f t="shared" si="15"/>
        <v>0</v>
      </c>
      <c r="T140" s="8">
        <f t="array" ref="T140">SUM(IF($F140:$O140&lt;TRANSPOSE($O$3:$O$12),ABS($F140:$O140-TRANSPOSE($O$3:$O$12)),"-"))+SUM(IF($F140:$O140&gt;TRANSPOSE($P$3:$P$12),ABS($F140:$O140-TRANSPOSE($P$3:$P$12)),"-"))</f>
        <v>0.08</v>
      </c>
      <c r="U140" s="8" t="e">
        <f t="array" ref="U140">SUM(IF(MMULT($F140:$O140,$B$17:$E$26)&lt;($B$28:$E$28),ABS(MMULT($F140:$O140,$B$17:$E$26)-$B$28:$E$28),"-"))+SUM(IF(MMULT($F140:$O140,$B$17:$E$26)&gt;($B$29:$E$29),(MMULT($F140:$O140,$B$17:$E$26)-$B$29:$E$29),"-"))</f>
        <v>#VALUE!</v>
      </c>
    </row>
    <row r="141" spans="1:21" x14ac:dyDescent="0.2">
      <c r="A141" s="1" t="e">
        <v>#N/A</v>
      </c>
      <c r="B141" s="47" t="e">
        <f t="array" ref="B141">SQRT(MMULT($F141:$O141,MMULT($B$3:$K$12,TRANSPOSE($F141:$O141))))</f>
        <v>#VALUE!</v>
      </c>
      <c r="C141" s="47" t="e">
        <f t="shared" si="7"/>
        <v>#VALUE!</v>
      </c>
      <c r="D141" s="52">
        <f t="shared" si="11"/>
        <v>0.08</v>
      </c>
      <c r="E141" s="34">
        <f t="shared" si="12"/>
        <v>0.15500000000000005</v>
      </c>
      <c r="F141" s="26"/>
      <c r="G141" s="29"/>
      <c r="H141" s="29"/>
      <c r="I141" s="29"/>
      <c r="J141" s="29"/>
      <c r="K141" s="29"/>
      <c r="L141" s="29"/>
      <c r="M141" s="29"/>
      <c r="N141" s="29"/>
      <c r="O141" s="27"/>
      <c r="Q141" s="40" t="e">
        <f t="shared" si="13"/>
        <v>#VALUE!</v>
      </c>
      <c r="R141" s="40" t="e">
        <f t="shared" si="14"/>
        <v>#VALUE!</v>
      </c>
      <c r="S141" s="8">
        <f t="shared" si="15"/>
        <v>0</v>
      </c>
      <c r="T141" s="8">
        <f t="array" ref="T141">SUM(IF($F141:$O141&lt;TRANSPOSE($O$3:$O$12),ABS($F141:$O141-TRANSPOSE($O$3:$O$12)),"-"))+SUM(IF($F141:$O141&gt;TRANSPOSE($P$3:$P$12),ABS($F141:$O141-TRANSPOSE($P$3:$P$12)),"-"))</f>
        <v>0.08</v>
      </c>
      <c r="U141" s="8" t="e">
        <f t="array" ref="U141">SUM(IF(MMULT($F141:$O141,$B$17:$E$26)&lt;($B$28:$E$28),ABS(MMULT($F141:$O141,$B$17:$E$26)-$B$28:$E$28),"-"))+SUM(IF(MMULT($F141:$O141,$B$17:$E$26)&gt;($B$29:$E$29),(MMULT($F141:$O141,$B$17:$E$26)-$B$29:$E$29),"-"))</f>
        <v>#VALUE!</v>
      </c>
    </row>
    <row r="142" spans="1:21" x14ac:dyDescent="0.2">
      <c r="A142" s="1" t="e">
        <v>#N/A</v>
      </c>
      <c r="B142" s="47" t="e">
        <f t="array" ref="B142">SQRT(MMULT($F142:$O142,MMULT($B$3:$K$12,TRANSPOSE($F142:$O142))))</f>
        <v>#VALUE!</v>
      </c>
      <c r="C142" s="47" t="e">
        <f t="shared" si="7"/>
        <v>#VALUE!</v>
      </c>
      <c r="D142" s="52">
        <f t="shared" si="11"/>
        <v>0.08</v>
      </c>
      <c r="E142" s="34">
        <f t="shared" si="12"/>
        <v>0.16000000000000006</v>
      </c>
      <c r="F142" s="26"/>
      <c r="G142" s="29"/>
      <c r="H142" s="29"/>
      <c r="I142" s="29"/>
      <c r="J142" s="29"/>
      <c r="K142" s="29"/>
      <c r="L142" s="29"/>
      <c r="M142" s="29"/>
      <c r="N142" s="29"/>
      <c r="O142" s="27"/>
      <c r="Q142" s="40" t="e">
        <f t="shared" si="13"/>
        <v>#VALUE!</v>
      </c>
      <c r="R142" s="40" t="e">
        <f t="shared" si="14"/>
        <v>#VALUE!</v>
      </c>
      <c r="S142" s="8">
        <f t="shared" si="15"/>
        <v>0</v>
      </c>
      <c r="T142" s="8">
        <f t="array" ref="T142">SUM(IF($F142:$O142&lt;TRANSPOSE($O$3:$O$12),ABS($F142:$O142-TRANSPOSE($O$3:$O$12)),"-"))+SUM(IF($F142:$O142&gt;TRANSPOSE($P$3:$P$12),ABS($F142:$O142-TRANSPOSE($P$3:$P$12)),"-"))</f>
        <v>0.08</v>
      </c>
      <c r="U142" s="8" t="e">
        <f t="array" ref="U142">SUM(IF(MMULT($F142:$O142,$B$17:$E$26)&lt;($B$28:$E$28),ABS(MMULT($F142:$O142,$B$17:$E$26)-$B$28:$E$28),"-"))+SUM(IF(MMULT($F142:$O142,$B$17:$E$26)&gt;($B$29:$E$29),(MMULT($F142:$O142,$B$17:$E$26)-$B$29:$E$29),"-"))</f>
        <v>#VALUE!</v>
      </c>
    </row>
    <row r="143" spans="1:21" x14ac:dyDescent="0.2">
      <c r="A143" s="1" t="e">
        <v>#N/A</v>
      </c>
      <c r="B143" s="47" t="e">
        <f t="array" ref="B143">SQRT(MMULT($F143:$O143,MMULT($B$3:$K$12,TRANSPOSE($F143:$O143))))</f>
        <v>#VALUE!</v>
      </c>
      <c r="C143" s="47" t="e">
        <f t="shared" si="7"/>
        <v>#VALUE!</v>
      </c>
      <c r="D143" s="52">
        <f t="shared" si="11"/>
        <v>0.08</v>
      </c>
      <c r="E143" s="34">
        <f t="shared" si="12"/>
        <v>0.16500000000000006</v>
      </c>
      <c r="F143" s="26"/>
      <c r="G143" s="29"/>
      <c r="H143" s="29"/>
      <c r="I143" s="29"/>
      <c r="J143" s="29"/>
      <c r="K143" s="29"/>
      <c r="L143" s="29"/>
      <c r="M143" s="29"/>
      <c r="N143" s="29"/>
      <c r="O143" s="27"/>
      <c r="Q143" s="40" t="e">
        <f t="shared" si="13"/>
        <v>#VALUE!</v>
      </c>
      <c r="R143" s="40" t="e">
        <f t="shared" si="14"/>
        <v>#VALUE!</v>
      </c>
      <c r="S143" s="8">
        <f t="shared" si="15"/>
        <v>0</v>
      </c>
      <c r="T143" s="8">
        <f t="array" ref="T143">SUM(IF($F143:$O143&lt;TRANSPOSE($O$3:$O$12),ABS($F143:$O143-TRANSPOSE($O$3:$O$12)),"-"))+SUM(IF($F143:$O143&gt;TRANSPOSE($P$3:$P$12),ABS($F143:$O143-TRANSPOSE($P$3:$P$12)),"-"))</f>
        <v>0.08</v>
      </c>
      <c r="U143" s="8" t="e">
        <f t="array" ref="U143">SUM(IF(MMULT($F143:$O143,$B$17:$E$26)&lt;($B$28:$E$28),ABS(MMULT($F143:$O143,$B$17:$E$26)-$B$28:$E$28),"-"))+SUM(IF(MMULT($F143:$O143,$B$17:$E$26)&gt;($B$29:$E$29),(MMULT($F143:$O143,$B$17:$E$26)-$B$29:$E$29),"-"))</f>
        <v>#VALUE!</v>
      </c>
    </row>
    <row r="144" spans="1:21" x14ac:dyDescent="0.2">
      <c r="A144" s="1" t="e">
        <v>#N/A</v>
      </c>
      <c r="B144" s="47" t="e">
        <f t="array" ref="B144">SQRT(MMULT($F144:$O144,MMULT($B$3:$K$12,TRANSPOSE($F144:$O144))))</f>
        <v>#VALUE!</v>
      </c>
      <c r="C144" s="47" t="e">
        <f t="shared" si="7"/>
        <v>#VALUE!</v>
      </c>
      <c r="D144" s="52">
        <f t="shared" si="11"/>
        <v>0.08</v>
      </c>
      <c r="E144" s="34">
        <f t="shared" si="12"/>
        <v>0.17000000000000007</v>
      </c>
      <c r="F144" s="26"/>
      <c r="G144" s="29"/>
      <c r="H144" s="29"/>
      <c r="I144" s="29"/>
      <c r="J144" s="29"/>
      <c r="K144" s="29"/>
      <c r="L144" s="29"/>
      <c r="M144" s="29"/>
      <c r="N144" s="29"/>
      <c r="O144" s="27"/>
      <c r="Q144" s="40" t="e">
        <f t="shared" si="13"/>
        <v>#VALUE!</v>
      </c>
      <c r="R144" s="40" t="e">
        <f t="shared" si="14"/>
        <v>#VALUE!</v>
      </c>
      <c r="S144" s="8">
        <f t="shared" si="15"/>
        <v>0</v>
      </c>
      <c r="T144" s="8">
        <f t="array" ref="T144">SUM(IF($F144:$O144&lt;TRANSPOSE($O$3:$O$12),ABS($F144:$O144-TRANSPOSE($O$3:$O$12)),"-"))+SUM(IF($F144:$O144&gt;TRANSPOSE($P$3:$P$12),ABS($F144:$O144-TRANSPOSE($P$3:$P$12)),"-"))</f>
        <v>0.08</v>
      </c>
      <c r="U144" s="8" t="e">
        <f t="array" ref="U144">SUM(IF(MMULT($F144:$O144,$B$17:$E$26)&lt;($B$28:$E$28),ABS(MMULT($F144:$O144,$B$17:$E$26)-$B$28:$E$28),"-"))+SUM(IF(MMULT($F144:$O144,$B$17:$E$26)&gt;($B$29:$E$29),(MMULT($F144:$O144,$B$17:$E$26)-$B$29:$E$29),"-"))</f>
        <v>#VALUE!</v>
      </c>
    </row>
    <row r="145" spans="1:21" x14ac:dyDescent="0.2">
      <c r="A145" s="1" t="e">
        <v>#N/A</v>
      </c>
      <c r="B145" s="47" t="e">
        <f t="array" ref="B145">SQRT(MMULT($F145:$O145,MMULT($B$3:$K$12,TRANSPOSE($F145:$O145))))</f>
        <v>#VALUE!</v>
      </c>
      <c r="C145" s="47" t="e">
        <f t="shared" si="7"/>
        <v>#VALUE!</v>
      </c>
      <c r="D145" s="52">
        <f t="shared" si="11"/>
        <v>0.1</v>
      </c>
      <c r="E145" s="34">
        <f t="shared" si="12"/>
        <v>0.09</v>
      </c>
      <c r="F145" s="26"/>
      <c r="G145" s="29"/>
      <c r="H145" s="29"/>
      <c r="I145" s="29"/>
      <c r="J145" s="29"/>
      <c r="K145" s="29"/>
      <c r="L145" s="29"/>
      <c r="M145" s="29"/>
      <c r="N145" s="29"/>
      <c r="O145" s="27"/>
      <c r="Q145" s="40" t="e">
        <f t="shared" si="13"/>
        <v>#VALUE!</v>
      </c>
      <c r="R145" s="40" t="e">
        <f t="shared" si="14"/>
        <v>#VALUE!</v>
      </c>
      <c r="S145" s="8">
        <f t="shared" si="15"/>
        <v>0</v>
      </c>
      <c r="T145" s="8">
        <f t="array" ref="T145">SUM(IF($F145:$O145&lt;TRANSPOSE($O$3:$O$12),ABS($F145:$O145-TRANSPOSE($O$3:$O$12)),"-"))+SUM(IF($F145:$O145&gt;TRANSPOSE($P$3:$P$12),ABS($F145:$O145-TRANSPOSE($P$3:$P$12)),"-"))</f>
        <v>0.08</v>
      </c>
      <c r="U145" s="8" t="e">
        <f t="array" ref="U145">SUM(IF(MMULT($F145:$O145,$B$17:$E$26)&lt;($B$28:$E$28),ABS(MMULT($F145:$O145,$B$17:$E$26)-$B$28:$E$28),"-"))+SUM(IF(MMULT($F145:$O145,$B$17:$E$26)&gt;($B$29:$E$29),(MMULT($F145:$O145,$B$17:$E$26)-$B$29:$E$29),"-"))</f>
        <v>#VALUE!</v>
      </c>
    </row>
    <row r="146" spans="1:21" x14ac:dyDescent="0.2">
      <c r="A146" s="1" t="e">
        <v>#N/A</v>
      </c>
      <c r="B146" s="47" t="e">
        <f t="array" ref="B146">SQRT(MMULT($F146:$O146,MMULT($B$3:$K$12,TRANSPOSE($F146:$O146))))</f>
        <v>#VALUE!</v>
      </c>
      <c r="C146" s="47" t="e">
        <f t="shared" si="7"/>
        <v>#VALUE!</v>
      </c>
      <c r="D146" s="52">
        <f t="shared" si="11"/>
        <v>0.1</v>
      </c>
      <c r="E146" s="34">
        <f t="shared" si="12"/>
        <v>9.5000000000000001E-2</v>
      </c>
      <c r="F146" s="26"/>
      <c r="G146" s="29"/>
      <c r="H146" s="29"/>
      <c r="I146" s="29"/>
      <c r="J146" s="29"/>
      <c r="K146" s="29"/>
      <c r="L146" s="29"/>
      <c r="M146" s="29"/>
      <c r="N146" s="29"/>
      <c r="O146" s="27"/>
      <c r="Q146" s="40" t="e">
        <f t="shared" si="13"/>
        <v>#VALUE!</v>
      </c>
      <c r="R146" s="40" t="e">
        <f t="shared" si="14"/>
        <v>#VALUE!</v>
      </c>
      <c r="S146" s="8">
        <f t="shared" si="15"/>
        <v>0</v>
      </c>
      <c r="T146" s="8">
        <f t="array" ref="T146">SUM(IF($F146:$O146&lt;TRANSPOSE($O$3:$O$12),ABS($F146:$O146-TRANSPOSE($O$3:$O$12)),"-"))+SUM(IF($F146:$O146&gt;TRANSPOSE($P$3:$P$12),ABS($F146:$O146-TRANSPOSE($P$3:$P$12)),"-"))</f>
        <v>0.08</v>
      </c>
      <c r="U146" s="8" t="e">
        <f t="array" ref="U146">SUM(IF(MMULT($F146:$O146,$B$17:$E$26)&lt;($B$28:$E$28),ABS(MMULT($F146:$O146,$B$17:$E$26)-$B$28:$E$28),"-"))+SUM(IF(MMULT($F146:$O146,$B$17:$E$26)&gt;($B$29:$E$29),(MMULT($F146:$O146,$B$17:$E$26)-$B$29:$E$29),"-"))</f>
        <v>#VALUE!</v>
      </c>
    </row>
    <row r="147" spans="1:21" x14ac:dyDescent="0.2">
      <c r="A147" s="1" t="e">
        <v>#N/A</v>
      </c>
      <c r="B147" s="47" t="e">
        <f t="array" ref="B147">SQRT(MMULT($F147:$O147,MMULT($B$3:$K$12,TRANSPOSE($F147:$O147))))</f>
        <v>#VALUE!</v>
      </c>
      <c r="C147" s="47" t="e">
        <f t="shared" si="7"/>
        <v>#VALUE!</v>
      </c>
      <c r="D147" s="52">
        <f t="shared" si="11"/>
        <v>0.1</v>
      </c>
      <c r="E147" s="34">
        <f t="shared" si="12"/>
        <v>0.1</v>
      </c>
      <c r="F147" s="26"/>
      <c r="G147" s="29"/>
      <c r="H147" s="29"/>
      <c r="I147" s="29"/>
      <c r="J147" s="29"/>
      <c r="K147" s="29"/>
      <c r="L147" s="29"/>
      <c r="M147" s="29"/>
      <c r="N147" s="29"/>
      <c r="O147" s="27"/>
      <c r="Q147" s="40" t="e">
        <f t="shared" si="13"/>
        <v>#VALUE!</v>
      </c>
      <c r="R147" s="40" t="e">
        <f t="shared" si="14"/>
        <v>#VALUE!</v>
      </c>
      <c r="S147" s="8">
        <f t="shared" si="15"/>
        <v>0</v>
      </c>
      <c r="T147" s="8">
        <f t="array" ref="T147">SUM(IF($F147:$O147&lt;TRANSPOSE($O$3:$O$12),ABS($F147:$O147-TRANSPOSE($O$3:$O$12)),"-"))+SUM(IF($F147:$O147&gt;TRANSPOSE($P$3:$P$12),ABS($F147:$O147-TRANSPOSE($P$3:$P$12)),"-"))</f>
        <v>0.08</v>
      </c>
      <c r="U147" s="8" t="e">
        <f t="array" ref="U147">SUM(IF(MMULT($F147:$O147,$B$17:$E$26)&lt;($B$28:$E$28),ABS(MMULT($F147:$O147,$B$17:$E$26)-$B$28:$E$28),"-"))+SUM(IF(MMULT($F147:$O147,$B$17:$E$26)&gt;($B$29:$E$29),(MMULT($F147:$O147,$B$17:$E$26)-$B$29:$E$29),"-"))</f>
        <v>#VALUE!</v>
      </c>
    </row>
    <row r="148" spans="1:21" x14ac:dyDescent="0.2">
      <c r="A148" s="1" t="e">
        <v>#N/A</v>
      </c>
      <c r="B148" s="47" t="e">
        <f t="array" ref="B148">SQRT(MMULT($F148:$O148,MMULT($B$3:$K$12,TRANSPOSE($F148:$O148))))</f>
        <v>#VALUE!</v>
      </c>
      <c r="C148" s="47" t="e">
        <f t="shared" si="7"/>
        <v>#VALUE!</v>
      </c>
      <c r="D148" s="52">
        <f t="shared" si="11"/>
        <v>0.1</v>
      </c>
      <c r="E148" s="34">
        <f t="shared" si="12"/>
        <v>0.10500000000000001</v>
      </c>
      <c r="F148" s="26"/>
      <c r="G148" s="29"/>
      <c r="H148" s="29"/>
      <c r="I148" s="29"/>
      <c r="J148" s="29"/>
      <c r="K148" s="29"/>
      <c r="L148" s="29"/>
      <c r="M148" s="29"/>
      <c r="N148" s="29"/>
      <c r="O148" s="27"/>
      <c r="Q148" s="40" t="e">
        <f t="shared" si="13"/>
        <v>#VALUE!</v>
      </c>
      <c r="R148" s="40" t="e">
        <f t="shared" si="14"/>
        <v>#VALUE!</v>
      </c>
      <c r="S148" s="8">
        <f t="shared" si="15"/>
        <v>0</v>
      </c>
      <c r="T148" s="8">
        <f t="array" ref="T148">SUM(IF($F148:$O148&lt;TRANSPOSE($O$3:$O$12),ABS($F148:$O148-TRANSPOSE($O$3:$O$12)),"-"))+SUM(IF($F148:$O148&gt;TRANSPOSE($P$3:$P$12),ABS($F148:$O148-TRANSPOSE($P$3:$P$12)),"-"))</f>
        <v>0.08</v>
      </c>
      <c r="U148" s="8" t="e">
        <f t="array" ref="U148">SUM(IF(MMULT($F148:$O148,$B$17:$E$26)&lt;($B$28:$E$28),ABS(MMULT($F148:$O148,$B$17:$E$26)-$B$28:$E$28),"-"))+SUM(IF(MMULT($F148:$O148,$B$17:$E$26)&gt;($B$29:$E$29),(MMULT($F148:$O148,$B$17:$E$26)-$B$29:$E$29),"-"))</f>
        <v>#VALUE!</v>
      </c>
    </row>
    <row r="149" spans="1:21" x14ac:dyDescent="0.2">
      <c r="A149" s="1" t="e">
        <v>#N/A</v>
      </c>
      <c r="B149" s="47" t="e">
        <f t="array" ref="B149">SQRT(MMULT($F149:$O149,MMULT($B$3:$K$12,TRANSPOSE($F149:$O149))))</f>
        <v>#VALUE!</v>
      </c>
      <c r="C149" s="47" t="e">
        <f t="shared" si="7"/>
        <v>#VALUE!</v>
      </c>
      <c r="D149" s="52">
        <f t="shared" si="11"/>
        <v>0.1</v>
      </c>
      <c r="E149" s="34">
        <f t="shared" si="12"/>
        <v>0.11000000000000001</v>
      </c>
      <c r="F149" s="26"/>
      <c r="G149" s="29"/>
      <c r="H149" s="29"/>
      <c r="I149" s="29"/>
      <c r="J149" s="29"/>
      <c r="K149" s="29"/>
      <c r="L149" s="29"/>
      <c r="M149" s="29"/>
      <c r="N149" s="29"/>
      <c r="O149" s="27"/>
      <c r="Q149" s="40" t="e">
        <f t="shared" si="13"/>
        <v>#VALUE!</v>
      </c>
      <c r="R149" s="40" t="e">
        <f t="shared" si="14"/>
        <v>#VALUE!</v>
      </c>
      <c r="S149" s="8">
        <f t="shared" si="15"/>
        <v>0</v>
      </c>
      <c r="T149" s="8">
        <f t="array" ref="T149">SUM(IF($F149:$O149&lt;TRANSPOSE($O$3:$O$12),ABS($F149:$O149-TRANSPOSE($O$3:$O$12)),"-"))+SUM(IF($F149:$O149&gt;TRANSPOSE($P$3:$P$12),ABS($F149:$O149-TRANSPOSE($P$3:$P$12)),"-"))</f>
        <v>0.08</v>
      </c>
      <c r="U149" s="8" t="e">
        <f t="array" ref="U149">SUM(IF(MMULT($F149:$O149,$B$17:$E$26)&lt;($B$28:$E$28),ABS(MMULT($F149:$O149,$B$17:$E$26)-$B$28:$E$28),"-"))+SUM(IF(MMULT($F149:$O149,$B$17:$E$26)&gt;($B$29:$E$29),(MMULT($F149:$O149,$B$17:$E$26)-$B$29:$E$29),"-"))</f>
        <v>#VALUE!</v>
      </c>
    </row>
    <row r="150" spans="1:21" x14ac:dyDescent="0.2">
      <c r="A150" s="1" t="e">
        <v>#N/A</v>
      </c>
      <c r="B150" s="47" t="e">
        <f t="array" ref="B150">SQRT(MMULT($F150:$O150,MMULT($B$3:$K$12,TRANSPOSE($F150:$O150))))</f>
        <v>#VALUE!</v>
      </c>
      <c r="C150" s="47" t="e">
        <f t="shared" si="7"/>
        <v>#VALUE!</v>
      </c>
      <c r="D150" s="52">
        <f t="shared" si="11"/>
        <v>0.1</v>
      </c>
      <c r="E150" s="34">
        <f t="shared" si="12"/>
        <v>0.11500000000000002</v>
      </c>
      <c r="F150" s="26"/>
      <c r="G150" s="29"/>
      <c r="H150" s="29"/>
      <c r="I150" s="29"/>
      <c r="J150" s="29"/>
      <c r="K150" s="29"/>
      <c r="L150" s="29"/>
      <c r="M150" s="29"/>
      <c r="N150" s="29"/>
      <c r="O150" s="27"/>
      <c r="Q150" s="40" t="e">
        <f t="shared" si="13"/>
        <v>#VALUE!</v>
      </c>
      <c r="R150" s="40" t="e">
        <f t="shared" si="14"/>
        <v>#VALUE!</v>
      </c>
      <c r="S150" s="8">
        <f t="shared" si="15"/>
        <v>0</v>
      </c>
      <c r="T150" s="8">
        <f t="array" ref="T150">SUM(IF($F150:$O150&lt;TRANSPOSE($O$3:$O$12),ABS($F150:$O150-TRANSPOSE($O$3:$O$12)),"-"))+SUM(IF($F150:$O150&gt;TRANSPOSE($P$3:$P$12),ABS($F150:$O150-TRANSPOSE($P$3:$P$12)),"-"))</f>
        <v>0.08</v>
      </c>
      <c r="U150" s="8" t="e">
        <f t="array" ref="U150">SUM(IF(MMULT($F150:$O150,$B$17:$E$26)&lt;($B$28:$E$28),ABS(MMULT($F150:$O150,$B$17:$E$26)-$B$28:$E$28),"-"))+SUM(IF(MMULT($F150:$O150,$B$17:$E$26)&gt;($B$29:$E$29),(MMULT($F150:$O150,$B$17:$E$26)-$B$29:$E$29),"-"))</f>
        <v>#VALUE!</v>
      </c>
    </row>
    <row r="151" spans="1:21" x14ac:dyDescent="0.2">
      <c r="A151" s="1" t="e">
        <v>#N/A</v>
      </c>
      <c r="B151" s="47" t="e">
        <f t="array" ref="B151">SQRT(MMULT($F151:$O151,MMULT($B$3:$K$12,TRANSPOSE($F151:$O151))))</f>
        <v>#VALUE!</v>
      </c>
      <c r="C151" s="47" t="e">
        <f t="shared" si="7"/>
        <v>#VALUE!</v>
      </c>
      <c r="D151" s="52">
        <f t="shared" si="11"/>
        <v>0.1</v>
      </c>
      <c r="E151" s="34">
        <f t="shared" si="12"/>
        <v>0.12000000000000002</v>
      </c>
      <c r="F151" s="26"/>
      <c r="G151" s="29"/>
      <c r="H151" s="29"/>
      <c r="I151" s="29"/>
      <c r="J151" s="29"/>
      <c r="K151" s="29"/>
      <c r="L151" s="29"/>
      <c r="M151" s="29"/>
      <c r="N151" s="29"/>
      <c r="O151" s="27"/>
      <c r="Q151" s="40" t="e">
        <f t="shared" si="13"/>
        <v>#VALUE!</v>
      </c>
      <c r="R151" s="40" t="e">
        <f t="shared" si="14"/>
        <v>#VALUE!</v>
      </c>
      <c r="S151" s="8">
        <f t="shared" si="15"/>
        <v>0</v>
      </c>
      <c r="T151" s="8">
        <f t="array" ref="T151">SUM(IF($F151:$O151&lt;TRANSPOSE($O$3:$O$12),ABS($F151:$O151-TRANSPOSE($O$3:$O$12)),"-"))+SUM(IF($F151:$O151&gt;TRANSPOSE($P$3:$P$12),ABS($F151:$O151-TRANSPOSE($P$3:$P$12)),"-"))</f>
        <v>0.08</v>
      </c>
      <c r="U151" s="8" t="e">
        <f t="array" ref="U151">SUM(IF(MMULT($F151:$O151,$B$17:$E$26)&lt;($B$28:$E$28),ABS(MMULT($F151:$O151,$B$17:$E$26)-$B$28:$E$28),"-"))+SUM(IF(MMULT($F151:$O151,$B$17:$E$26)&gt;($B$29:$E$29),(MMULT($F151:$O151,$B$17:$E$26)-$B$29:$E$29),"-"))</f>
        <v>#VALUE!</v>
      </c>
    </row>
    <row r="152" spans="1:21" x14ac:dyDescent="0.2">
      <c r="A152" s="1">
        <v>0.53263184590676205</v>
      </c>
      <c r="B152" s="47" t="e">
        <f t="array" ref="B152">SQRT(MMULT($F152:$O152,MMULT($B$3:$K$12,TRANSPOSE($F152:$O152))))</f>
        <v>#VALUE!</v>
      </c>
      <c r="C152" s="47" t="e">
        <f t="shared" si="7"/>
        <v>#VALUE!</v>
      </c>
      <c r="D152" s="52">
        <f t="shared" si="11"/>
        <v>0.1</v>
      </c>
      <c r="E152" s="34">
        <f t="shared" si="12"/>
        <v>0.12500000000000003</v>
      </c>
      <c r="F152" s="26"/>
      <c r="G152" s="29"/>
      <c r="H152" s="29"/>
      <c r="I152" s="29"/>
      <c r="J152" s="29"/>
      <c r="K152" s="29"/>
      <c r="L152" s="29"/>
      <c r="M152" s="29"/>
      <c r="N152" s="29"/>
      <c r="O152" s="27"/>
      <c r="Q152" s="40" t="e">
        <f t="shared" si="13"/>
        <v>#VALUE!</v>
      </c>
      <c r="R152" s="40" t="e">
        <f t="shared" si="14"/>
        <v>#VALUE!</v>
      </c>
      <c r="S152" s="8">
        <f t="shared" si="15"/>
        <v>0</v>
      </c>
      <c r="T152" s="8">
        <f t="array" ref="T152">SUM(IF($F152:$O152&lt;TRANSPOSE($O$3:$O$12),ABS($F152:$O152-TRANSPOSE($O$3:$O$12)),"-"))+SUM(IF($F152:$O152&gt;TRANSPOSE($P$3:$P$12),ABS($F152:$O152-TRANSPOSE($P$3:$P$12)),"-"))</f>
        <v>0.08</v>
      </c>
      <c r="U152" s="8" t="e">
        <f t="array" ref="U152">SUM(IF(MMULT($F152:$O152,$B$17:$E$26)&lt;($B$28:$E$28),ABS(MMULT($F152:$O152,$B$17:$E$26)-$B$28:$E$28),"-"))+SUM(IF(MMULT($F152:$O152,$B$17:$E$26)&gt;($B$29:$E$29),(MMULT($F152:$O152,$B$17:$E$26)-$B$29:$E$29),"-"))</f>
        <v>#VALUE!</v>
      </c>
    </row>
    <row r="153" spans="1:21" x14ac:dyDescent="0.2">
      <c r="A153" s="1">
        <v>0.5185277539097739</v>
      </c>
      <c r="B153" s="47" t="e">
        <f t="array" ref="B153">SQRT(MMULT($F153:$O153,MMULT($B$3:$K$12,TRANSPOSE($F153:$O153))))</f>
        <v>#VALUE!</v>
      </c>
      <c r="C153" s="47" t="e">
        <f t="shared" si="7"/>
        <v>#VALUE!</v>
      </c>
      <c r="D153" s="52">
        <f t="shared" si="11"/>
        <v>0.1</v>
      </c>
      <c r="E153" s="34">
        <f t="shared" si="12"/>
        <v>0.13000000000000003</v>
      </c>
      <c r="F153" s="26"/>
      <c r="G153" s="29"/>
      <c r="H153" s="29"/>
      <c r="I153" s="29"/>
      <c r="J153" s="29"/>
      <c r="K153" s="29"/>
      <c r="L153" s="29"/>
      <c r="M153" s="29"/>
      <c r="N153" s="29"/>
      <c r="O153" s="27"/>
      <c r="Q153" s="40" t="e">
        <f t="shared" si="13"/>
        <v>#VALUE!</v>
      </c>
      <c r="R153" s="40" t="e">
        <f t="shared" si="14"/>
        <v>#VALUE!</v>
      </c>
      <c r="S153" s="8">
        <f t="shared" si="15"/>
        <v>0</v>
      </c>
      <c r="T153" s="8">
        <f t="array" ref="T153">SUM(IF($F153:$O153&lt;TRANSPOSE($O$3:$O$12),ABS($F153:$O153-TRANSPOSE($O$3:$O$12)),"-"))+SUM(IF($F153:$O153&gt;TRANSPOSE($P$3:$P$12),ABS($F153:$O153-TRANSPOSE($P$3:$P$12)),"-"))</f>
        <v>0.08</v>
      </c>
      <c r="U153" s="8" t="e">
        <f t="array" ref="U153">SUM(IF(MMULT($F153:$O153,$B$17:$E$26)&lt;($B$28:$E$28),ABS(MMULT($F153:$O153,$B$17:$E$26)-$B$28:$E$28),"-"))+SUM(IF(MMULT($F153:$O153,$B$17:$E$26)&gt;($B$29:$E$29),(MMULT($F153:$O153,$B$17:$E$26)-$B$29:$E$29),"-"))</f>
        <v>#VALUE!</v>
      </c>
    </row>
    <row r="154" spans="1:21" x14ac:dyDescent="0.2">
      <c r="A154" s="1">
        <v>0.50162230226034943</v>
      </c>
      <c r="B154" s="47" t="e">
        <f t="array" ref="B154">SQRT(MMULT($F154:$O154,MMULT($B$3:$K$12,TRANSPOSE($F154:$O154))))</f>
        <v>#VALUE!</v>
      </c>
      <c r="C154" s="47" t="e">
        <f t="shared" si="7"/>
        <v>#VALUE!</v>
      </c>
      <c r="D154" s="52">
        <f t="shared" si="11"/>
        <v>0.1</v>
      </c>
      <c r="E154" s="34">
        <f t="shared" si="12"/>
        <v>0.13500000000000004</v>
      </c>
      <c r="F154" s="26"/>
      <c r="G154" s="29"/>
      <c r="H154" s="29"/>
      <c r="I154" s="29"/>
      <c r="J154" s="29"/>
      <c r="K154" s="29"/>
      <c r="L154" s="29"/>
      <c r="M154" s="29"/>
      <c r="N154" s="29"/>
      <c r="O154" s="27"/>
      <c r="Q154" s="40" t="e">
        <f t="shared" si="13"/>
        <v>#VALUE!</v>
      </c>
      <c r="R154" s="40" t="e">
        <f t="shared" si="14"/>
        <v>#VALUE!</v>
      </c>
      <c r="S154" s="8">
        <f t="shared" si="15"/>
        <v>0</v>
      </c>
      <c r="T154" s="8">
        <f t="array" ref="T154">SUM(IF($F154:$O154&lt;TRANSPOSE($O$3:$O$12),ABS($F154:$O154-TRANSPOSE($O$3:$O$12)),"-"))+SUM(IF($F154:$O154&gt;TRANSPOSE($P$3:$P$12),ABS($F154:$O154-TRANSPOSE($P$3:$P$12)),"-"))</f>
        <v>0.08</v>
      </c>
      <c r="U154" s="8" t="e">
        <f t="array" ref="U154">SUM(IF(MMULT($F154:$O154,$B$17:$E$26)&lt;($B$28:$E$28),ABS(MMULT($F154:$O154,$B$17:$E$26)-$B$28:$E$28),"-"))+SUM(IF(MMULT($F154:$O154,$B$17:$E$26)&gt;($B$29:$E$29),(MMULT($F154:$O154,$B$17:$E$26)-$B$29:$E$29),"-"))</f>
        <v>#VALUE!</v>
      </c>
    </row>
    <row r="155" spans="1:21" x14ac:dyDescent="0.2">
      <c r="A155" s="1">
        <v>0.48392491804933024</v>
      </c>
      <c r="B155" s="47" t="e">
        <f t="array" ref="B155">SQRT(MMULT($F155:$O155,MMULT($B$3:$K$12,TRANSPOSE($F155:$O155))))</f>
        <v>#VALUE!</v>
      </c>
      <c r="C155" s="47" t="e">
        <f t="shared" si="7"/>
        <v>#VALUE!</v>
      </c>
      <c r="D155" s="52">
        <f t="shared" si="11"/>
        <v>0.1</v>
      </c>
      <c r="E155" s="34">
        <f t="shared" si="12"/>
        <v>0.14000000000000004</v>
      </c>
      <c r="F155" s="26"/>
      <c r="G155" s="29"/>
      <c r="H155" s="29"/>
      <c r="I155" s="29"/>
      <c r="J155" s="29"/>
      <c r="K155" s="29"/>
      <c r="L155" s="29"/>
      <c r="M155" s="29"/>
      <c r="N155" s="29"/>
      <c r="O155" s="27"/>
      <c r="Q155" s="40" t="e">
        <f t="shared" si="13"/>
        <v>#VALUE!</v>
      </c>
      <c r="R155" s="40" t="e">
        <f t="shared" si="14"/>
        <v>#VALUE!</v>
      </c>
      <c r="S155" s="8">
        <f t="shared" si="15"/>
        <v>0</v>
      </c>
      <c r="T155" s="8">
        <f t="array" ref="T155">SUM(IF($F155:$O155&lt;TRANSPOSE($O$3:$O$12),ABS($F155:$O155-TRANSPOSE($O$3:$O$12)),"-"))+SUM(IF($F155:$O155&gt;TRANSPOSE($P$3:$P$12),ABS($F155:$O155-TRANSPOSE($P$3:$P$12)),"-"))</f>
        <v>0.08</v>
      </c>
      <c r="U155" s="8" t="e">
        <f t="array" ref="U155">SUM(IF(MMULT($F155:$O155,$B$17:$E$26)&lt;($B$28:$E$28),ABS(MMULT($F155:$O155,$B$17:$E$26)-$B$28:$E$28),"-"))+SUM(IF(MMULT($F155:$O155,$B$17:$E$26)&gt;($B$29:$E$29),(MMULT($F155:$O155,$B$17:$E$26)-$B$29:$E$29),"-"))</f>
        <v>#VALUE!</v>
      </c>
    </row>
    <row r="156" spans="1:21" x14ac:dyDescent="0.2">
      <c r="A156" s="1">
        <v>0.50598913015147418</v>
      </c>
      <c r="B156" s="47" t="e">
        <f t="array" ref="B156">SQRT(MMULT($F156:$O156,MMULT($B$3:$K$12,TRANSPOSE($F156:$O156))))</f>
        <v>#VALUE!</v>
      </c>
      <c r="C156" s="47" t="e">
        <f t="shared" si="7"/>
        <v>#VALUE!</v>
      </c>
      <c r="D156" s="52">
        <f t="shared" si="11"/>
        <v>0.1</v>
      </c>
      <c r="E156" s="34">
        <f t="shared" si="12"/>
        <v>0.14500000000000005</v>
      </c>
      <c r="F156" s="26"/>
      <c r="G156" s="29"/>
      <c r="H156" s="29"/>
      <c r="I156" s="29"/>
      <c r="J156" s="29"/>
      <c r="K156" s="29"/>
      <c r="L156" s="29"/>
      <c r="M156" s="29"/>
      <c r="N156" s="29"/>
      <c r="O156" s="27"/>
      <c r="Q156" s="40" t="e">
        <f t="shared" si="13"/>
        <v>#VALUE!</v>
      </c>
      <c r="R156" s="40" t="e">
        <f t="shared" si="14"/>
        <v>#VALUE!</v>
      </c>
      <c r="S156" s="8">
        <f t="shared" si="15"/>
        <v>0</v>
      </c>
      <c r="T156" s="8">
        <f t="array" ref="T156">SUM(IF($F156:$O156&lt;TRANSPOSE($O$3:$O$12),ABS($F156:$O156-TRANSPOSE($O$3:$O$12)),"-"))+SUM(IF($F156:$O156&gt;TRANSPOSE($P$3:$P$12),ABS($F156:$O156-TRANSPOSE($P$3:$P$12)),"-"))</f>
        <v>0.08</v>
      </c>
      <c r="U156" s="8" t="e">
        <f t="array" ref="U156">SUM(IF(MMULT($F156:$O156,$B$17:$E$26)&lt;($B$28:$E$28),ABS(MMULT($F156:$O156,$B$17:$E$26)-$B$28:$E$28),"-"))+SUM(IF(MMULT($F156:$O156,$B$17:$E$26)&gt;($B$29:$E$29),(MMULT($F156:$O156,$B$17:$E$26)-$B$29:$E$29),"-"))</f>
        <v>#VALUE!</v>
      </c>
    </row>
    <row r="157" spans="1:21" x14ac:dyDescent="0.2">
      <c r="A157" s="1">
        <v>0.54318340837058832</v>
      </c>
      <c r="B157" s="47" t="e">
        <f t="array" ref="B157">SQRT(MMULT($F157:$O157,MMULT($B$3:$K$12,TRANSPOSE($F157:$O157))))</f>
        <v>#VALUE!</v>
      </c>
      <c r="C157" s="47" t="e">
        <f t="shared" si="7"/>
        <v>#VALUE!</v>
      </c>
      <c r="D157" s="52">
        <f t="shared" si="11"/>
        <v>0.1</v>
      </c>
      <c r="E157" s="34">
        <f t="shared" si="12"/>
        <v>0.15000000000000005</v>
      </c>
      <c r="F157" s="26"/>
      <c r="G157" s="29"/>
      <c r="H157" s="29"/>
      <c r="I157" s="29"/>
      <c r="J157" s="29"/>
      <c r="K157" s="29"/>
      <c r="L157" s="29"/>
      <c r="M157" s="29"/>
      <c r="N157" s="29"/>
      <c r="O157" s="27"/>
      <c r="Q157" s="40" t="e">
        <f t="shared" si="13"/>
        <v>#VALUE!</v>
      </c>
      <c r="R157" s="40" t="e">
        <f t="shared" si="14"/>
        <v>#VALUE!</v>
      </c>
      <c r="S157" s="8">
        <f t="shared" si="15"/>
        <v>0</v>
      </c>
      <c r="T157" s="8">
        <f t="array" ref="T157">SUM(IF($F157:$O157&lt;TRANSPOSE($O$3:$O$12),ABS($F157:$O157-TRANSPOSE($O$3:$O$12)),"-"))+SUM(IF($F157:$O157&gt;TRANSPOSE($P$3:$P$12),ABS($F157:$O157-TRANSPOSE($P$3:$P$12)),"-"))</f>
        <v>0.08</v>
      </c>
      <c r="U157" s="8" t="e">
        <f t="array" ref="U157">SUM(IF(MMULT($F157:$O157,$B$17:$E$26)&lt;($B$28:$E$28),ABS(MMULT($F157:$O157,$B$17:$E$26)-$B$28:$E$28),"-"))+SUM(IF(MMULT($F157:$O157,$B$17:$E$26)&gt;($B$29:$E$29),(MMULT($F157:$O157,$B$17:$E$26)-$B$29:$E$29),"-"))</f>
        <v>#VALUE!</v>
      </c>
    </row>
    <row r="158" spans="1:21" x14ac:dyDescent="0.2">
      <c r="A158" s="1">
        <v>0.57689389033889316</v>
      </c>
      <c r="B158" s="47" t="e">
        <f t="array" ref="B158">SQRT(MMULT($F158:$O158,MMULT($B$3:$K$12,TRANSPOSE($F158:$O158))))</f>
        <v>#VALUE!</v>
      </c>
      <c r="C158" s="47" t="e">
        <f t="shared" si="7"/>
        <v>#VALUE!</v>
      </c>
      <c r="D158" s="52">
        <f t="shared" si="11"/>
        <v>0.1</v>
      </c>
      <c r="E158" s="34">
        <f t="shared" si="12"/>
        <v>0.15500000000000005</v>
      </c>
      <c r="F158" s="26"/>
      <c r="G158" s="29"/>
      <c r="H158" s="29"/>
      <c r="I158" s="29"/>
      <c r="J158" s="29"/>
      <c r="K158" s="29"/>
      <c r="L158" s="29"/>
      <c r="M158" s="29"/>
      <c r="N158" s="29"/>
      <c r="O158" s="27"/>
      <c r="Q158" s="40" t="e">
        <f t="shared" si="13"/>
        <v>#VALUE!</v>
      </c>
      <c r="R158" s="40" t="e">
        <f t="shared" si="14"/>
        <v>#VALUE!</v>
      </c>
      <c r="S158" s="8">
        <f t="shared" si="15"/>
        <v>0</v>
      </c>
      <c r="T158" s="8">
        <f t="array" ref="T158">SUM(IF($F158:$O158&lt;TRANSPOSE($O$3:$O$12),ABS($F158:$O158-TRANSPOSE($O$3:$O$12)),"-"))+SUM(IF($F158:$O158&gt;TRANSPOSE($P$3:$P$12),ABS($F158:$O158-TRANSPOSE($P$3:$P$12)),"-"))</f>
        <v>0.08</v>
      </c>
      <c r="U158" s="8" t="e">
        <f t="array" ref="U158">SUM(IF(MMULT($F158:$O158,$B$17:$E$26)&lt;($B$28:$E$28),ABS(MMULT($F158:$O158,$B$17:$E$26)-$B$28:$E$28),"-"))+SUM(IF(MMULT($F158:$O158,$B$17:$E$26)&gt;($B$29:$E$29),(MMULT($F158:$O158,$B$17:$E$26)-$B$29:$E$29),"-"))</f>
        <v>#VALUE!</v>
      </c>
    </row>
    <row r="159" spans="1:21" x14ac:dyDescent="0.2">
      <c r="A159" s="1" t="e">
        <v>#N/A</v>
      </c>
      <c r="B159" s="47" t="e">
        <f t="array" ref="B159">SQRT(MMULT($F159:$O159,MMULT($B$3:$K$12,TRANSPOSE($F159:$O159))))</f>
        <v>#VALUE!</v>
      </c>
      <c r="C159" s="47" t="e">
        <f t="shared" si="7"/>
        <v>#VALUE!</v>
      </c>
      <c r="D159" s="52">
        <f t="shared" si="11"/>
        <v>0.1</v>
      </c>
      <c r="E159" s="34">
        <f t="shared" si="12"/>
        <v>0.16000000000000006</v>
      </c>
      <c r="F159" s="26"/>
      <c r="G159" s="29"/>
      <c r="H159" s="29"/>
      <c r="I159" s="29"/>
      <c r="J159" s="29"/>
      <c r="K159" s="29"/>
      <c r="L159" s="29"/>
      <c r="M159" s="29"/>
      <c r="N159" s="29"/>
      <c r="O159" s="27"/>
      <c r="Q159" s="40" t="e">
        <f t="shared" si="13"/>
        <v>#VALUE!</v>
      </c>
      <c r="R159" s="40" t="e">
        <f t="shared" si="14"/>
        <v>#VALUE!</v>
      </c>
      <c r="S159" s="8">
        <f t="shared" si="15"/>
        <v>0</v>
      </c>
      <c r="T159" s="8">
        <f t="array" ref="T159">SUM(IF($F159:$O159&lt;TRANSPOSE($O$3:$O$12),ABS($F159:$O159-TRANSPOSE($O$3:$O$12)),"-"))+SUM(IF($F159:$O159&gt;TRANSPOSE($P$3:$P$12),ABS($F159:$O159-TRANSPOSE($P$3:$P$12)),"-"))</f>
        <v>0.08</v>
      </c>
      <c r="U159" s="8" t="e">
        <f t="array" ref="U159">SUM(IF(MMULT($F159:$O159,$B$17:$E$26)&lt;($B$28:$E$28),ABS(MMULT($F159:$O159,$B$17:$E$26)-$B$28:$E$28),"-"))+SUM(IF(MMULT($F159:$O159,$B$17:$E$26)&gt;($B$29:$E$29),(MMULT($F159:$O159,$B$17:$E$26)-$B$29:$E$29),"-"))</f>
        <v>#VALUE!</v>
      </c>
    </row>
    <row r="160" spans="1:21" x14ac:dyDescent="0.2">
      <c r="A160" s="1" t="e">
        <v>#N/A</v>
      </c>
      <c r="B160" s="47" t="e">
        <f t="array" ref="B160">SQRT(MMULT($F160:$O160,MMULT($B$3:$K$12,TRANSPOSE($F160:$O160))))</f>
        <v>#VALUE!</v>
      </c>
      <c r="C160" s="47" t="e">
        <f t="shared" si="7"/>
        <v>#VALUE!</v>
      </c>
      <c r="D160" s="52">
        <f t="shared" si="11"/>
        <v>0.1</v>
      </c>
      <c r="E160" s="34">
        <f t="shared" si="12"/>
        <v>0.16500000000000006</v>
      </c>
      <c r="F160" s="26"/>
      <c r="G160" s="29"/>
      <c r="H160" s="29"/>
      <c r="I160" s="29"/>
      <c r="J160" s="29"/>
      <c r="K160" s="29"/>
      <c r="L160" s="29"/>
      <c r="M160" s="29"/>
      <c r="N160" s="29"/>
      <c r="O160" s="27"/>
      <c r="Q160" s="40" t="e">
        <f t="shared" si="13"/>
        <v>#VALUE!</v>
      </c>
      <c r="R160" s="40" t="e">
        <f t="shared" si="14"/>
        <v>#VALUE!</v>
      </c>
      <c r="S160" s="8">
        <f t="shared" si="15"/>
        <v>0</v>
      </c>
      <c r="T160" s="8">
        <f t="array" ref="T160">SUM(IF($F160:$O160&lt;TRANSPOSE($O$3:$O$12),ABS($F160:$O160-TRANSPOSE($O$3:$O$12)),"-"))+SUM(IF($F160:$O160&gt;TRANSPOSE($P$3:$P$12),ABS($F160:$O160-TRANSPOSE($P$3:$P$12)),"-"))</f>
        <v>0.08</v>
      </c>
      <c r="U160" s="8" t="e">
        <f t="array" ref="U160">SUM(IF(MMULT($F160:$O160,$B$17:$E$26)&lt;($B$28:$E$28),ABS(MMULT($F160:$O160,$B$17:$E$26)-$B$28:$E$28),"-"))+SUM(IF(MMULT($F160:$O160,$B$17:$E$26)&gt;($B$29:$E$29),(MMULT($F160:$O160,$B$17:$E$26)-$B$29:$E$29),"-"))</f>
        <v>#VALUE!</v>
      </c>
    </row>
    <row r="161" spans="1:21" x14ac:dyDescent="0.2">
      <c r="A161" s="1" t="e">
        <v>#N/A</v>
      </c>
      <c r="B161" s="47" t="e">
        <f t="array" ref="B161">SQRT(MMULT($F161:$O161,MMULT($B$3:$K$12,TRANSPOSE($F161:$O161))))</f>
        <v>#VALUE!</v>
      </c>
      <c r="C161" s="47" t="e">
        <f t="shared" si="7"/>
        <v>#VALUE!</v>
      </c>
      <c r="D161" s="52">
        <f t="shared" si="11"/>
        <v>0.1</v>
      </c>
      <c r="E161" s="34">
        <f t="shared" si="12"/>
        <v>0.17000000000000007</v>
      </c>
      <c r="F161" s="26"/>
      <c r="G161" s="29"/>
      <c r="H161" s="29"/>
      <c r="I161" s="29"/>
      <c r="J161" s="29"/>
      <c r="K161" s="29"/>
      <c r="L161" s="29"/>
      <c r="M161" s="29"/>
      <c r="N161" s="29"/>
      <c r="O161" s="27"/>
      <c r="Q161" s="40" t="e">
        <f t="shared" si="13"/>
        <v>#VALUE!</v>
      </c>
      <c r="R161" s="40" t="e">
        <f t="shared" si="14"/>
        <v>#VALUE!</v>
      </c>
      <c r="S161" s="8">
        <f t="shared" si="15"/>
        <v>0</v>
      </c>
      <c r="T161" s="8">
        <f t="array" ref="T161">SUM(IF($F161:$O161&lt;TRANSPOSE($O$3:$O$12),ABS($F161:$O161-TRANSPOSE($O$3:$O$12)),"-"))+SUM(IF($F161:$O161&gt;TRANSPOSE($P$3:$P$12),ABS($F161:$O161-TRANSPOSE($P$3:$P$12)),"-"))</f>
        <v>0.08</v>
      </c>
      <c r="U161" s="8" t="e">
        <f t="array" ref="U161">SUM(IF(MMULT($F161:$O161,$B$17:$E$26)&lt;($B$28:$E$28),ABS(MMULT($F161:$O161,$B$17:$E$26)-$B$28:$E$28),"-"))+SUM(IF(MMULT($F161:$O161,$B$17:$E$26)&gt;($B$29:$E$29),(MMULT($F161:$O161,$B$17:$E$26)-$B$29:$E$29),"-"))</f>
        <v>#VALUE!</v>
      </c>
    </row>
    <row r="162" spans="1:21" x14ac:dyDescent="0.2">
      <c r="A162" s="1" t="e">
        <v>#N/A</v>
      </c>
      <c r="B162" s="47" t="e">
        <f t="array" ref="B162">SQRT(MMULT($F162:$O162,MMULT($B$3:$K$12,TRANSPOSE($F162:$O162))))</f>
        <v>#VALUE!</v>
      </c>
      <c r="C162" s="47" t="e">
        <f t="shared" si="7"/>
        <v>#VALUE!</v>
      </c>
      <c r="D162" s="52">
        <f t="shared" si="11"/>
        <v>0.12000000000000001</v>
      </c>
      <c r="E162" s="34">
        <f t="shared" si="12"/>
        <v>0.09</v>
      </c>
      <c r="F162" s="26"/>
      <c r="G162" s="29"/>
      <c r="H162" s="29"/>
      <c r="I162" s="29"/>
      <c r="J162" s="29"/>
      <c r="K162" s="29"/>
      <c r="L162" s="29"/>
      <c r="M162" s="29"/>
      <c r="N162" s="29"/>
      <c r="O162" s="27"/>
      <c r="Q162" s="40" t="e">
        <f t="shared" si="13"/>
        <v>#VALUE!</v>
      </c>
      <c r="R162" s="40" t="e">
        <f t="shared" si="14"/>
        <v>#VALUE!</v>
      </c>
      <c r="S162" s="8">
        <f t="shared" si="15"/>
        <v>0</v>
      </c>
      <c r="T162" s="8">
        <f t="array" ref="T162">SUM(IF($F162:$O162&lt;TRANSPOSE($O$3:$O$12),ABS($F162:$O162-TRANSPOSE($O$3:$O$12)),"-"))+SUM(IF($F162:$O162&gt;TRANSPOSE($P$3:$P$12),ABS($F162:$O162-TRANSPOSE($P$3:$P$12)),"-"))</f>
        <v>0.08</v>
      </c>
      <c r="U162" s="8" t="e">
        <f t="array" ref="U162">SUM(IF(MMULT($F162:$O162,$B$17:$E$26)&lt;($B$28:$E$28),ABS(MMULT($F162:$O162,$B$17:$E$26)-$B$28:$E$28),"-"))+SUM(IF(MMULT($F162:$O162,$B$17:$E$26)&gt;($B$29:$E$29),(MMULT($F162:$O162,$B$17:$E$26)-$B$29:$E$29),"-"))</f>
        <v>#VALUE!</v>
      </c>
    </row>
    <row r="163" spans="1:21" x14ac:dyDescent="0.2">
      <c r="A163" s="1" t="e">
        <v>#N/A</v>
      </c>
      <c r="B163" s="47" t="e">
        <f t="array" ref="B163">SQRT(MMULT($F163:$O163,MMULT($B$3:$K$12,TRANSPOSE($F163:$O163))))</f>
        <v>#VALUE!</v>
      </c>
      <c r="C163" s="47" t="e">
        <f t="shared" si="7"/>
        <v>#VALUE!</v>
      </c>
      <c r="D163" s="52">
        <f t="shared" si="11"/>
        <v>0.12000000000000001</v>
      </c>
      <c r="E163" s="34">
        <f t="shared" si="12"/>
        <v>9.5000000000000001E-2</v>
      </c>
      <c r="F163" s="26"/>
      <c r="G163" s="29"/>
      <c r="H163" s="29"/>
      <c r="I163" s="29"/>
      <c r="J163" s="29"/>
      <c r="K163" s="29"/>
      <c r="L163" s="29"/>
      <c r="M163" s="29"/>
      <c r="N163" s="29"/>
      <c r="O163" s="27"/>
      <c r="Q163" s="40" t="e">
        <f t="shared" si="13"/>
        <v>#VALUE!</v>
      </c>
      <c r="R163" s="40" t="e">
        <f t="shared" si="14"/>
        <v>#VALUE!</v>
      </c>
      <c r="S163" s="8">
        <f t="shared" si="15"/>
        <v>0</v>
      </c>
      <c r="T163" s="8">
        <f t="array" ref="T163">SUM(IF($F163:$O163&lt;TRANSPOSE($O$3:$O$12),ABS($F163:$O163-TRANSPOSE($O$3:$O$12)),"-"))+SUM(IF($F163:$O163&gt;TRANSPOSE($P$3:$P$12),ABS($F163:$O163-TRANSPOSE($P$3:$P$12)),"-"))</f>
        <v>0.08</v>
      </c>
      <c r="U163" s="8" t="e">
        <f t="array" ref="U163">SUM(IF(MMULT($F163:$O163,$B$17:$E$26)&lt;($B$28:$E$28),ABS(MMULT($F163:$O163,$B$17:$E$26)-$B$28:$E$28),"-"))+SUM(IF(MMULT($F163:$O163,$B$17:$E$26)&gt;($B$29:$E$29),(MMULT($F163:$O163,$B$17:$E$26)-$B$29:$E$29),"-"))</f>
        <v>#VALUE!</v>
      </c>
    </row>
    <row r="164" spans="1:21" x14ac:dyDescent="0.2">
      <c r="A164" s="1" t="e">
        <v>#N/A</v>
      </c>
      <c r="B164" s="47" t="e">
        <f t="array" ref="B164">SQRT(MMULT($F164:$O164,MMULT($B$3:$K$12,TRANSPOSE($F164:$O164))))</f>
        <v>#VALUE!</v>
      </c>
      <c r="C164" s="47" t="e">
        <f t="shared" si="7"/>
        <v>#VALUE!</v>
      </c>
      <c r="D164" s="52">
        <f t="shared" si="11"/>
        <v>0.12000000000000001</v>
      </c>
      <c r="E164" s="34">
        <f t="shared" si="12"/>
        <v>0.1</v>
      </c>
      <c r="F164" s="26"/>
      <c r="G164" s="29"/>
      <c r="H164" s="29"/>
      <c r="I164" s="29"/>
      <c r="J164" s="29"/>
      <c r="K164" s="29"/>
      <c r="L164" s="29"/>
      <c r="M164" s="29"/>
      <c r="N164" s="29"/>
      <c r="O164" s="27"/>
      <c r="Q164" s="40" t="e">
        <f t="shared" si="13"/>
        <v>#VALUE!</v>
      </c>
      <c r="R164" s="40" t="e">
        <f t="shared" si="14"/>
        <v>#VALUE!</v>
      </c>
      <c r="S164" s="8">
        <f t="shared" si="15"/>
        <v>0</v>
      </c>
      <c r="T164" s="8">
        <f t="array" ref="T164">SUM(IF($F164:$O164&lt;TRANSPOSE($O$3:$O$12),ABS($F164:$O164-TRANSPOSE($O$3:$O$12)),"-"))+SUM(IF($F164:$O164&gt;TRANSPOSE($P$3:$P$12),ABS($F164:$O164-TRANSPOSE($P$3:$P$12)),"-"))</f>
        <v>0.08</v>
      </c>
      <c r="U164" s="8" t="e">
        <f t="array" ref="U164">SUM(IF(MMULT($F164:$O164,$B$17:$E$26)&lt;($B$28:$E$28),ABS(MMULT($F164:$O164,$B$17:$E$26)-$B$28:$E$28),"-"))+SUM(IF(MMULT($F164:$O164,$B$17:$E$26)&gt;($B$29:$E$29),(MMULT($F164:$O164,$B$17:$E$26)-$B$29:$E$29),"-"))</f>
        <v>#VALUE!</v>
      </c>
    </row>
    <row r="165" spans="1:21" x14ac:dyDescent="0.2">
      <c r="A165" s="1" t="e">
        <v>#N/A</v>
      </c>
      <c r="B165" s="47" t="e">
        <f t="array" ref="B165">SQRT(MMULT($F165:$O165,MMULT($B$3:$K$12,TRANSPOSE($F165:$O165))))</f>
        <v>#VALUE!</v>
      </c>
      <c r="C165" s="47" t="e">
        <f t="shared" si="7"/>
        <v>#VALUE!</v>
      </c>
      <c r="D165" s="52">
        <f t="shared" si="11"/>
        <v>0.12000000000000001</v>
      </c>
      <c r="E165" s="34">
        <f t="shared" si="12"/>
        <v>0.10500000000000001</v>
      </c>
      <c r="F165" s="26"/>
      <c r="G165" s="29"/>
      <c r="H165" s="29"/>
      <c r="I165" s="29"/>
      <c r="J165" s="29"/>
      <c r="K165" s="29"/>
      <c r="L165" s="29"/>
      <c r="M165" s="29"/>
      <c r="N165" s="29"/>
      <c r="O165" s="27"/>
      <c r="Q165" s="40" t="e">
        <f t="shared" si="13"/>
        <v>#VALUE!</v>
      </c>
      <c r="R165" s="40" t="e">
        <f t="shared" si="14"/>
        <v>#VALUE!</v>
      </c>
      <c r="S165" s="8">
        <f t="shared" si="15"/>
        <v>0</v>
      </c>
      <c r="T165" s="8">
        <f t="array" ref="T165">SUM(IF($F165:$O165&lt;TRANSPOSE($O$3:$O$12),ABS($F165:$O165-TRANSPOSE($O$3:$O$12)),"-"))+SUM(IF($F165:$O165&gt;TRANSPOSE($P$3:$P$12),ABS($F165:$O165-TRANSPOSE($P$3:$P$12)),"-"))</f>
        <v>0.08</v>
      </c>
      <c r="U165" s="8" t="e">
        <f t="array" ref="U165">SUM(IF(MMULT($F165:$O165,$B$17:$E$26)&lt;($B$28:$E$28),ABS(MMULT($F165:$O165,$B$17:$E$26)-$B$28:$E$28),"-"))+SUM(IF(MMULT($F165:$O165,$B$17:$E$26)&gt;($B$29:$E$29),(MMULT($F165:$O165,$B$17:$E$26)-$B$29:$E$29),"-"))</f>
        <v>#VALUE!</v>
      </c>
    </row>
    <row r="166" spans="1:21" x14ac:dyDescent="0.2">
      <c r="B166" s="31"/>
      <c r="C166" s="31"/>
      <c r="D166" s="31"/>
      <c r="E166" s="31"/>
      <c r="F166" s="31"/>
      <c r="G166" s="31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</row>
    <row r="167" spans="1:21" x14ac:dyDescent="0.2">
      <c r="B167" s="31"/>
      <c r="C167" s="31"/>
      <c r="D167" s="31"/>
      <c r="E167" s="31"/>
      <c r="F167" s="31"/>
      <c r="G167" s="31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</row>
    <row r="168" spans="1:21" x14ac:dyDescent="0.2">
      <c r="B168" s="31"/>
      <c r="C168" s="31"/>
      <c r="D168" s="31"/>
      <c r="E168" s="31"/>
      <c r="F168" s="31"/>
      <c r="G168" s="31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</row>
    <row r="169" spans="1:21" x14ac:dyDescent="0.2">
      <c r="B169" s="31"/>
      <c r="C169" s="31"/>
      <c r="D169" s="31"/>
      <c r="E169" s="31"/>
      <c r="F169" s="31"/>
      <c r="G169" s="31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</row>
    <row r="170" spans="1:21" x14ac:dyDescent="0.2">
      <c r="B170" s="31"/>
      <c r="C170" s="31"/>
      <c r="D170" s="31"/>
      <c r="E170" s="31"/>
      <c r="F170" s="31"/>
      <c r="G170" s="31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</row>
    <row r="171" spans="1:21" x14ac:dyDescent="0.2">
      <c r="B171" s="31"/>
      <c r="C171" s="31"/>
      <c r="D171" s="31"/>
      <c r="E171" s="31"/>
      <c r="F171" s="31"/>
      <c r="G171" s="31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</row>
    <row r="172" spans="1:21" x14ac:dyDescent="0.2">
      <c r="B172" s="31"/>
      <c r="C172" s="31"/>
      <c r="D172" s="31"/>
      <c r="E172" s="31"/>
      <c r="F172" s="31"/>
      <c r="G172" s="31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</row>
    <row r="173" spans="1:21" x14ac:dyDescent="0.2">
      <c r="B173" s="31"/>
      <c r="C173" s="31"/>
      <c r="D173" s="31"/>
      <c r="E173" s="31"/>
      <c r="F173" s="31"/>
      <c r="G173" s="31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</row>
    <row r="174" spans="1:21" x14ac:dyDescent="0.2">
      <c r="B174" s="31"/>
      <c r="C174" s="31"/>
      <c r="D174" s="31"/>
      <c r="E174" s="31"/>
      <c r="F174" s="31"/>
      <c r="G174" s="31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</row>
  </sheetData>
  <conditionalFormatting sqref="B3:K12">
    <cfRule type="cellIs" dxfId="2" priority="14" operator="equal">
      <formula>0</formula>
    </cfRule>
  </conditionalFormatting>
  <conditionalFormatting sqref="M3:M12">
    <cfRule type="cellIs" dxfId="1" priority="13" operator="equal">
      <formula>0</formula>
    </cfRule>
  </conditionalFormatting>
  <conditionalFormatting sqref="O3:P12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200FA-E0A5-4201-8FEB-83C06CB9FA07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Example1</vt:lpstr>
      <vt:lpstr>Sheet1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dcterms:created xsi:type="dcterms:W3CDTF">2018-07-04T05:53:30Z</dcterms:created>
  <dcterms:modified xsi:type="dcterms:W3CDTF">2018-09-18T16:09:10Z</dcterms:modified>
</cp:coreProperties>
</file>