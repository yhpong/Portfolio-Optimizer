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18195" windowHeight="11820"/>
  </bookViews>
  <sheets>
    <sheet name="Sheet1" sheetId="1" r:id="rId1"/>
    <sheet name="Sheet2" sheetId="2" r:id="rId2"/>
    <sheet name="Sheet3" sheetId="3" r:id="rId3"/>
  </sheets>
  <functionGroups builtInGroupCount="17"/>
  <calcPr calcId="145621" calcOnSave="0"/>
</workbook>
</file>

<file path=xl/calcChain.xml><?xml version="1.0" encoding="utf-8"?>
<calcChain xmlns="http://schemas.openxmlformats.org/spreadsheetml/2006/main">
  <c r="L39" i="1" l="1"/>
  <c r="L38" i="1"/>
  <c r="L37" i="1"/>
  <c r="L36" i="1"/>
  <c r="L35" i="1"/>
  <c r="L34" i="1"/>
  <c r="L33" i="1"/>
  <c r="L32" i="1"/>
  <c r="L31" i="1"/>
  <c r="L30" i="1"/>
  <c r="K39" i="1"/>
  <c r="J39" i="1"/>
  <c r="I39" i="1"/>
  <c r="H39" i="1"/>
  <c r="G39" i="1"/>
  <c r="F39" i="1"/>
  <c r="E39" i="1"/>
  <c r="D39" i="1"/>
  <c r="C39" i="1"/>
  <c r="B39" i="1"/>
  <c r="K38" i="1"/>
  <c r="J38" i="1"/>
  <c r="I38" i="1"/>
  <c r="H38" i="1"/>
  <c r="G38" i="1"/>
  <c r="F38" i="1"/>
  <c r="E38" i="1"/>
  <c r="D38" i="1"/>
  <c r="C38" i="1"/>
  <c r="B38" i="1"/>
  <c r="K37" i="1"/>
  <c r="J37" i="1"/>
  <c r="I37" i="1"/>
  <c r="H37" i="1"/>
  <c r="G37" i="1"/>
  <c r="F37" i="1"/>
  <c r="E37" i="1"/>
  <c r="D37" i="1"/>
  <c r="C37" i="1"/>
  <c r="B37" i="1"/>
  <c r="K36" i="1"/>
  <c r="J36" i="1"/>
  <c r="I36" i="1"/>
  <c r="H36" i="1"/>
  <c r="G36" i="1"/>
  <c r="F36" i="1"/>
  <c r="E36" i="1"/>
  <c r="D36" i="1"/>
  <c r="C36" i="1"/>
  <c r="B36" i="1"/>
  <c r="K35" i="1"/>
  <c r="J35" i="1"/>
  <c r="I35" i="1"/>
  <c r="H35" i="1"/>
  <c r="G35" i="1"/>
  <c r="F35" i="1"/>
  <c r="E35" i="1"/>
  <c r="D35" i="1"/>
  <c r="C35" i="1"/>
  <c r="B35" i="1"/>
  <c r="K34" i="1"/>
  <c r="J34" i="1"/>
  <c r="I34" i="1"/>
  <c r="H34" i="1"/>
  <c r="G34" i="1"/>
  <c r="F34" i="1"/>
  <c r="E34" i="1"/>
  <c r="D34" i="1"/>
  <c r="C34" i="1"/>
  <c r="B34" i="1"/>
  <c r="K33" i="1"/>
  <c r="J33" i="1"/>
  <c r="I33" i="1"/>
  <c r="H33" i="1"/>
  <c r="G33" i="1"/>
  <c r="F33" i="1"/>
  <c r="E33" i="1"/>
  <c r="D33" i="1"/>
  <c r="C33" i="1"/>
  <c r="B33" i="1"/>
  <c r="K32" i="1"/>
  <c r="J32" i="1"/>
  <c r="I32" i="1"/>
  <c r="H32" i="1"/>
  <c r="G32" i="1"/>
  <c r="F32" i="1"/>
  <c r="E32" i="1"/>
  <c r="D32" i="1"/>
  <c r="C32" i="1"/>
  <c r="B32" i="1"/>
  <c r="K31" i="1"/>
  <c r="J31" i="1"/>
  <c r="I31" i="1"/>
  <c r="H31" i="1"/>
  <c r="G31" i="1"/>
  <c r="F31" i="1"/>
  <c r="E31" i="1"/>
  <c r="D31" i="1"/>
  <c r="C31" i="1"/>
  <c r="B31" i="1"/>
  <c r="K30" i="1"/>
  <c r="J30" i="1"/>
  <c r="I30" i="1"/>
  <c r="H30" i="1"/>
  <c r="G30" i="1"/>
  <c r="F30" i="1"/>
  <c r="E30" i="1"/>
  <c r="D30" i="1"/>
  <c r="C30" i="1"/>
  <c r="B30" i="1"/>
  <c r="J23" i="1"/>
  <c r="J22" i="1"/>
  <c r="J21" i="1"/>
  <c r="J20" i="1"/>
  <c r="J19" i="1"/>
  <c r="J18" i="1"/>
  <c r="J17" i="1"/>
  <c r="J16" i="1"/>
  <c r="J15" i="1"/>
  <c r="J14" i="1"/>
  <c r="I17" i="1"/>
  <c r="I18" i="1" s="1"/>
  <c r="I19" i="1" s="1"/>
  <c r="I20" i="1" s="1"/>
  <c r="I21" i="1" s="1"/>
  <c r="I22" i="1" s="1"/>
  <c r="I23" i="1" s="1"/>
  <c r="I16" i="1"/>
  <c r="I15" i="1"/>
  <c r="G14" i="1" a="1"/>
  <c r="G20" i="1" s="1"/>
  <c r="F14" i="1" a="1"/>
  <c r="F14" i="1" s="1"/>
  <c r="C27" i="1"/>
  <c r="G17" i="1" l="1"/>
  <c r="G21" i="1"/>
  <c r="G14" i="1"/>
  <c r="G18" i="1"/>
  <c r="G22" i="1"/>
  <c r="G15" i="1"/>
  <c r="G19" i="1"/>
  <c r="G23" i="1"/>
  <c r="G16" i="1"/>
  <c r="F21" i="1"/>
  <c r="F17" i="1"/>
  <c r="F20" i="1"/>
  <c r="F16" i="1"/>
  <c r="F23" i="1"/>
  <c r="F19" i="1"/>
  <c r="F15" i="1"/>
  <c r="F22" i="1"/>
  <c r="F18" i="1"/>
  <c r="B27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00%"/>
  </numFmts>
  <fonts count="2" x14ac:knownFonts="1">
    <font>
      <sz val="10"/>
      <color theme="1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10" fontId="0" fillId="0" borderId="0" xfId="1" applyNumberFormat="1" applyFont="1"/>
    <xf numFmtId="164" fontId="0" fillId="0" borderId="0" xfId="1" applyNumberFormat="1" applyFont="1"/>
    <xf numFmtId="165" fontId="0" fillId="0" borderId="0" xfId="1" applyNumberFormat="1" applyFont="1"/>
    <xf numFmtId="2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310"/>
  <sheetViews>
    <sheetView tabSelected="1" workbookViewId="0">
      <selection activeCell="N11" sqref="N11"/>
    </sheetView>
  </sheetViews>
  <sheetFormatPr defaultRowHeight="12.75" x14ac:dyDescent="0.2"/>
  <cols>
    <col min="6" max="6" width="12.42578125" bestFit="1" customWidth="1"/>
  </cols>
  <sheetData>
    <row r="1" spans="1:17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7" x14ac:dyDescent="0.2">
      <c r="A2">
        <v>1</v>
      </c>
      <c r="B2" s="1">
        <v>1.6264206901362578E-2</v>
      </c>
      <c r="C2" s="1">
        <v>1.1670925260129745E-2</v>
      </c>
      <c r="D2" s="1">
        <v>8.1710582837687395E-3</v>
      </c>
      <c r="E2" s="1">
        <v>9.7334173463493445E-3</v>
      </c>
      <c r="F2" s="1">
        <v>9.5476440877091239E-3</v>
      </c>
      <c r="G2" s="1">
        <v>1.4859077223220666E-3</v>
      </c>
      <c r="H2" s="1">
        <v>7.7393481695183421E-3</v>
      </c>
      <c r="I2" s="1">
        <v>3.2318255533484962E-3</v>
      </c>
      <c r="J2" s="1">
        <v>2.191689500106456E-3</v>
      </c>
      <c r="K2" s="1">
        <v>3.1680119071684039E-3</v>
      </c>
    </row>
    <row r="3" spans="1:17" x14ac:dyDescent="0.2">
      <c r="A3">
        <v>2</v>
      </c>
      <c r="B3" s="1">
        <v>1.1670925260129745E-2</v>
      </c>
      <c r="C3" s="1">
        <v>1.750696456794017E-2</v>
      </c>
      <c r="D3" s="1">
        <v>1.2074923199556078E-2</v>
      </c>
      <c r="E3" s="1">
        <v>1.272756139742234E-2</v>
      </c>
      <c r="F3" s="1">
        <v>1.2706395941121542E-2</v>
      </c>
      <c r="G3" s="1">
        <v>2.6180379692484529E-3</v>
      </c>
      <c r="H3" s="1">
        <v>1.2972480168664976E-2</v>
      </c>
      <c r="I3" s="1">
        <v>5.3755432227674382E-3</v>
      </c>
      <c r="J3" s="1">
        <v>3.4401104916202472E-3</v>
      </c>
      <c r="K3" s="1">
        <v>5.226879279866945E-3</v>
      </c>
      <c r="O3">
        <v>11</v>
      </c>
      <c r="P3">
        <v>5</v>
      </c>
      <c r="Q3">
        <v>4</v>
      </c>
    </row>
    <row r="4" spans="1:17" x14ac:dyDescent="0.2">
      <c r="A4">
        <v>3</v>
      </c>
      <c r="B4" s="1">
        <v>8.1710582837687395E-3</v>
      </c>
      <c r="C4" s="1">
        <v>1.2074923199556078E-2</v>
      </c>
      <c r="D4" s="1">
        <v>2.2050984283751393E-2</v>
      </c>
      <c r="E4" s="1">
        <v>1.4186871532534957E-2</v>
      </c>
      <c r="F4" s="1">
        <v>1.4129098765889183E-2</v>
      </c>
      <c r="G4" s="1">
        <v>4.6384458761813659E-3</v>
      </c>
      <c r="H4" s="1">
        <v>1.0005774002967168E-2</v>
      </c>
      <c r="I4" s="1">
        <v>1.4087947569021593E-3</v>
      </c>
      <c r="J4" s="1">
        <v>1.782547098866711E-3</v>
      </c>
      <c r="K4" s="1">
        <v>1.1275989139239574E-3</v>
      </c>
      <c r="O4">
        <v>12</v>
      </c>
      <c r="P4">
        <v>8</v>
      </c>
      <c r="Q4">
        <v>10</v>
      </c>
    </row>
    <row r="5" spans="1:17" x14ac:dyDescent="0.2">
      <c r="A5">
        <v>4</v>
      </c>
      <c r="B5" s="1">
        <v>9.7334173463493445E-3</v>
      </c>
      <c r="C5" s="1">
        <v>1.272756139742234E-2</v>
      </c>
      <c r="D5" s="1">
        <v>1.4186871532534957E-2</v>
      </c>
      <c r="E5" s="1">
        <v>1.2422215755644431E-2</v>
      </c>
      <c r="F5" s="1">
        <v>1.2334565704775554E-2</v>
      </c>
      <c r="G5" s="1">
        <v>3.1525201111111999E-3</v>
      </c>
      <c r="H5" s="1">
        <v>9.0188891857185607E-3</v>
      </c>
      <c r="I5" s="1">
        <v>2.8950528851288057E-3</v>
      </c>
      <c r="J5" s="1">
        <v>2.1668925660407799E-3</v>
      </c>
      <c r="K5" s="1">
        <v>2.6719368045720784E-3</v>
      </c>
      <c r="O5">
        <v>13</v>
      </c>
      <c r="P5">
        <v>3</v>
      </c>
      <c r="Q5">
        <v>6</v>
      </c>
    </row>
    <row r="6" spans="1:17" x14ac:dyDescent="0.2">
      <c r="A6">
        <v>5</v>
      </c>
      <c r="B6" s="1">
        <v>9.5476440877091239E-3</v>
      </c>
      <c r="C6" s="1">
        <v>1.2706395941121542E-2</v>
      </c>
      <c r="D6" s="1">
        <v>1.4129098765889183E-2</v>
      </c>
      <c r="E6" s="1">
        <v>1.2334565704775554E-2</v>
      </c>
      <c r="F6" s="1">
        <v>1.2276052827819718E-2</v>
      </c>
      <c r="G6" s="1">
        <v>3.1236340974047754E-3</v>
      </c>
      <c r="H6" s="1">
        <v>8.9537577690349136E-3</v>
      </c>
      <c r="I6" s="1">
        <v>2.8906098517211356E-3</v>
      </c>
      <c r="J6" s="1">
        <v>2.0984351835694388E-3</v>
      </c>
      <c r="K6" s="1">
        <v>2.6594034888329462E-3</v>
      </c>
      <c r="O6">
        <v>14</v>
      </c>
      <c r="P6">
        <v>11</v>
      </c>
      <c r="Q6">
        <v>2</v>
      </c>
    </row>
    <row r="7" spans="1:17" x14ac:dyDescent="0.2">
      <c r="A7">
        <v>6</v>
      </c>
      <c r="B7" s="1">
        <v>1.4859077223220666E-3</v>
      </c>
      <c r="C7" s="1">
        <v>2.6180379692484529E-3</v>
      </c>
      <c r="D7" s="1">
        <v>4.6384458761813659E-3</v>
      </c>
      <c r="E7" s="1">
        <v>3.1525201111111999E-3</v>
      </c>
      <c r="F7" s="1">
        <v>3.1236340974047754E-3</v>
      </c>
      <c r="G7" s="1">
        <v>1.2803000737923904E-3</v>
      </c>
      <c r="H7" s="1">
        <v>2.0076625254481098E-3</v>
      </c>
      <c r="I7" s="1">
        <v>1.3504251725752968E-4</v>
      </c>
      <c r="J7" s="1">
        <v>4.415491217004807E-4</v>
      </c>
      <c r="K7" s="1">
        <v>1.1231229807605954E-4</v>
      </c>
      <c r="O7">
        <v>15</v>
      </c>
      <c r="P7">
        <v>14</v>
      </c>
      <c r="Q7">
        <v>13</v>
      </c>
    </row>
    <row r="8" spans="1:17" x14ac:dyDescent="0.2">
      <c r="A8">
        <v>7</v>
      </c>
      <c r="B8" s="1">
        <v>7.7393481695183421E-3</v>
      </c>
      <c r="C8" s="1">
        <v>1.2972480168664976E-2</v>
      </c>
      <c r="D8" s="1">
        <v>1.0005774002967168E-2</v>
      </c>
      <c r="E8" s="1">
        <v>9.0188891857185607E-3</v>
      </c>
      <c r="F8" s="1">
        <v>8.9537577690349136E-3</v>
      </c>
      <c r="G8" s="1">
        <v>2.0076625254481098E-3</v>
      </c>
      <c r="H8" s="1">
        <v>1.5656889614950771E-2</v>
      </c>
      <c r="I8" s="1">
        <v>5.5226514761671525E-3</v>
      </c>
      <c r="J8" s="1">
        <v>3.2482142519896871E-3</v>
      </c>
      <c r="K8" s="1">
        <v>5.2006443634937897E-3</v>
      </c>
      <c r="O8">
        <v>16</v>
      </c>
      <c r="P8">
        <v>12</v>
      </c>
      <c r="Q8">
        <v>9</v>
      </c>
    </row>
    <row r="9" spans="1:17" x14ac:dyDescent="0.2">
      <c r="A9">
        <v>8</v>
      </c>
      <c r="B9" s="1">
        <v>3.2318255533484962E-3</v>
      </c>
      <c r="C9" s="1">
        <v>5.3755432227674382E-3</v>
      </c>
      <c r="D9" s="1">
        <v>1.4087947569021593E-3</v>
      </c>
      <c r="E9" s="1">
        <v>2.8950528851288057E-3</v>
      </c>
      <c r="F9" s="1">
        <v>2.8906098517211356E-3</v>
      </c>
      <c r="G9" s="1">
        <v>1.3504251725752968E-4</v>
      </c>
      <c r="H9" s="1">
        <v>5.5226514761671525E-3</v>
      </c>
      <c r="I9" s="1">
        <v>6.3017503407905434E-3</v>
      </c>
      <c r="J9" s="1">
        <v>2.1725844010538698E-3</v>
      </c>
      <c r="K9" s="1">
        <v>5.6932037341784272E-3</v>
      </c>
      <c r="O9">
        <v>17</v>
      </c>
      <c r="P9">
        <v>15</v>
      </c>
      <c r="Q9">
        <v>7</v>
      </c>
    </row>
    <row r="10" spans="1:17" x14ac:dyDescent="0.2">
      <c r="A10">
        <v>9</v>
      </c>
      <c r="B10" s="1">
        <v>2.191689500106456E-3</v>
      </c>
      <c r="C10" s="1">
        <v>3.4401104916202472E-3</v>
      </c>
      <c r="D10" s="1">
        <v>1.782547098866711E-3</v>
      </c>
      <c r="E10" s="1">
        <v>2.1668925660407799E-3</v>
      </c>
      <c r="F10" s="1">
        <v>2.0984351835694388E-3</v>
      </c>
      <c r="G10" s="1">
        <v>4.415491217004807E-4</v>
      </c>
      <c r="H10" s="1">
        <v>3.2482142519896871E-3</v>
      </c>
      <c r="I10" s="1">
        <v>2.1725844010538698E-3</v>
      </c>
      <c r="J10" s="1">
        <v>2.0706453504405033E-3</v>
      </c>
      <c r="K10" s="1">
        <v>2.1213137679125344E-3</v>
      </c>
      <c r="O10">
        <v>18</v>
      </c>
      <c r="P10">
        <v>17</v>
      </c>
      <c r="Q10">
        <v>1</v>
      </c>
    </row>
    <row r="11" spans="1:17" x14ac:dyDescent="0.2">
      <c r="A11">
        <v>10</v>
      </c>
      <c r="B11" s="1">
        <v>3.1680119071684039E-3</v>
      </c>
      <c r="C11" s="1">
        <v>5.226879279866945E-3</v>
      </c>
      <c r="D11" s="1">
        <v>1.1275989139239574E-3</v>
      </c>
      <c r="E11" s="1">
        <v>2.6719368045720784E-3</v>
      </c>
      <c r="F11" s="1">
        <v>2.6594034888329462E-3</v>
      </c>
      <c r="G11" s="1">
        <v>1.1231229807605954E-4</v>
      </c>
      <c r="H11" s="1">
        <v>5.2006443634937897E-3</v>
      </c>
      <c r="I11" s="1">
        <v>5.6932037341784272E-3</v>
      </c>
      <c r="J11" s="1">
        <v>2.1213137679125344E-3</v>
      </c>
      <c r="K11" s="1">
        <v>5.2360018864175649E-3</v>
      </c>
      <c r="O11">
        <v>19</v>
      </c>
      <c r="P11">
        <v>18</v>
      </c>
      <c r="Q11">
        <v>16</v>
      </c>
    </row>
    <row r="14" spans="1:17" x14ac:dyDescent="0.2">
      <c r="B14" s="2">
        <v>1.3128823090679595E-2</v>
      </c>
      <c r="C14" s="2">
        <v>7.2718265167406759E-2</v>
      </c>
      <c r="F14" s="3">
        <f t="array" ref="F14:F23">B$14:B$23*MMULT($B$2:$K$11,B$14:B$23)</f>
        <v>4.1816064446260998E-5</v>
      </c>
      <c r="G14" s="3">
        <f t="array" ref="G14:G23">C$14:C$23*MMULT($B$2:$K$11,C$14:C$23)</f>
        <v>3.0599062057980094E-4</v>
      </c>
      <c r="I14">
        <v>1</v>
      </c>
      <c r="J14" s="1">
        <f>INDEX($B$2:$K$11,$I14,$I14)</f>
        <v>1.6264206901362578E-2</v>
      </c>
    </row>
    <row r="15" spans="1:17" x14ac:dyDescent="0.2">
      <c r="B15" s="2">
        <v>1.2196854245608546E-2</v>
      </c>
      <c r="C15" s="2">
        <v>0.02</v>
      </c>
      <c r="F15" s="3">
        <v>5.868908315629534E-5</v>
      </c>
      <c r="G15" s="3">
        <v>1.1311835393059263E-4</v>
      </c>
      <c r="I15">
        <f>I14+1</f>
        <v>2</v>
      </c>
      <c r="J15" s="1">
        <f t="shared" ref="J15:J23" si="0">INDEX($B$2:$K$11,$I15,$I15)</f>
        <v>1.750696456794017E-2</v>
      </c>
      <c r="M15" s="1">
        <v>2.2050984283751393E-2</v>
      </c>
      <c r="N15" s="1">
        <v>4.6384458761813659E-3</v>
      </c>
    </row>
    <row r="16" spans="1:17" x14ac:dyDescent="0.2">
      <c r="B16" s="2">
        <v>2.0101692427884222E-2</v>
      </c>
      <c r="C16" s="2">
        <v>0.02</v>
      </c>
      <c r="F16" s="3">
        <v>1.0037326260061402E-4</v>
      </c>
      <c r="G16" s="3">
        <v>8.9174690705809547E-5</v>
      </c>
      <c r="I16">
        <f t="shared" ref="I16:I23" si="1">I15+1</f>
        <v>3</v>
      </c>
      <c r="J16" s="1">
        <f t="shared" si="0"/>
        <v>2.2050984283751393E-2</v>
      </c>
      <c r="M16" s="1">
        <v>4.6384458761813659E-3</v>
      </c>
      <c r="N16" s="1">
        <v>1.2803000737923904E-3</v>
      </c>
    </row>
    <row r="17" spans="1:12" x14ac:dyDescent="0.2">
      <c r="B17" s="2">
        <v>2.9070241064812014E-2</v>
      </c>
      <c r="C17" s="2">
        <v>0.02</v>
      </c>
      <c r="F17" s="3">
        <v>1.2383801143335882E-4</v>
      </c>
      <c r="G17" s="3">
        <v>8.7652956480496565E-5</v>
      </c>
      <c r="I17">
        <f t="shared" si="1"/>
        <v>4</v>
      </c>
      <c r="J17" s="1">
        <f t="shared" si="0"/>
        <v>1.2422215755644431E-2</v>
      </c>
    </row>
    <row r="18" spans="1:12" x14ac:dyDescent="0.2">
      <c r="B18" s="2">
        <v>5.2391534112246833E-2</v>
      </c>
      <c r="C18" s="2">
        <v>0.02</v>
      </c>
      <c r="F18" s="3">
        <v>2.2112314818838603E-4</v>
      </c>
      <c r="G18" s="3">
        <v>8.6614581239434155E-5</v>
      </c>
      <c r="I18">
        <f t="shared" si="1"/>
        <v>5</v>
      </c>
      <c r="J18" s="1">
        <f t="shared" si="0"/>
        <v>1.2276052827819718E-2</v>
      </c>
    </row>
    <row r="19" spans="1:12" x14ac:dyDescent="0.2">
      <c r="B19" s="2">
        <v>0.50235195143537426</v>
      </c>
      <c r="C19" s="2">
        <v>0.25611977640906536</v>
      </c>
      <c r="F19" s="3">
        <v>6.0253606908407308E-4</v>
      </c>
      <c r="G19" s="3">
        <v>2.5315236408428998E-4</v>
      </c>
      <c r="I19">
        <f t="shared" si="1"/>
        <v>6</v>
      </c>
      <c r="J19" s="1">
        <f t="shared" si="0"/>
        <v>1.2803000737923904E-3</v>
      </c>
    </row>
    <row r="20" spans="1:12" x14ac:dyDescent="0.2">
      <c r="B20" s="2">
        <v>2.8310993735359041E-2</v>
      </c>
      <c r="C20" s="2">
        <v>6.0279612481459577E-2</v>
      </c>
      <c r="F20" s="3">
        <v>1.1623789402519123E-4</v>
      </c>
      <c r="G20" s="3">
        <v>3.043363171967998E-4</v>
      </c>
      <c r="I20">
        <f t="shared" si="1"/>
        <v>7</v>
      </c>
      <c r="J20" s="1">
        <f t="shared" si="0"/>
        <v>1.5656889614950771E-2</v>
      </c>
    </row>
    <row r="21" spans="1:12" x14ac:dyDescent="0.2">
      <c r="B21" s="2">
        <v>9.2884565326199667E-2</v>
      </c>
      <c r="C21" s="2">
        <v>0.10477780897759066</v>
      </c>
      <c r="F21" s="3">
        <v>1.8322724085408098E-4</v>
      </c>
      <c r="G21" s="3">
        <v>3.0216881201157437E-4</v>
      </c>
      <c r="I21">
        <f t="shared" si="1"/>
        <v>8</v>
      </c>
      <c r="J21" s="1">
        <f t="shared" si="0"/>
        <v>6.3017503407905434E-3</v>
      </c>
    </row>
    <row r="22" spans="1:12" x14ac:dyDescent="0.2">
      <c r="B22" s="2">
        <v>0.17883909001584009</v>
      </c>
      <c r="C22" s="2">
        <v>0.3</v>
      </c>
      <c r="F22" s="3">
        <v>2.3524687590007138E-4</v>
      </c>
      <c r="G22" s="3">
        <v>5.3230969580339777E-4</v>
      </c>
      <c r="I22">
        <f t="shared" si="1"/>
        <v>9</v>
      </c>
      <c r="J22" s="1">
        <f t="shared" si="0"/>
        <v>2.0706453504405033E-3</v>
      </c>
    </row>
    <row r="23" spans="1:12" x14ac:dyDescent="0.2">
      <c r="B23" s="2">
        <v>7.0724254545995777E-2</v>
      </c>
      <c r="C23" s="2">
        <v>0.12610453696447765</v>
      </c>
      <c r="F23" s="3">
        <v>1.2922503073632064E-4</v>
      </c>
      <c r="G23" s="3">
        <v>3.4042500645979623E-4</v>
      </c>
      <c r="I23">
        <f t="shared" si="1"/>
        <v>10</v>
      </c>
      <c r="J23" s="1">
        <f t="shared" si="0"/>
        <v>5.2360018864175649E-3</v>
      </c>
    </row>
    <row r="27" spans="1:12" x14ac:dyDescent="0.2">
      <c r="B27">
        <f>SUM(B14:B23)</f>
        <v>1.0000000000000002</v>
      </c>
      <c r="C27">
        <f>SUM(C14:C23)</f>
        <v>0.99999999999999989</v>
      </c>
    </row>
    <row r="29" spans="1:12" x14ac:dyDescent="0.2">
      <c r="B29">
        <v>1</v>
      </c>
      <c r="C29">
        <v>2</v>
      </c>
      <c r="D29">
        <v>3</v>
      </c>
      <c r="E29">
        <v>4</v>
      </c>
      <c r="F29">
        <v>5</v>
      </c>
      <c r="G29">
        <v>6</v>
      </c>
      <c r="H29">
        <v>7</v>
      </c>
      <c r="I29">
        <v>8</v>
      </c>
      <c r="J29">
        <v>9</v>
      </c>
      <c r="K29">
        <v>10</v>
      </c>
    </row>
    <row r="30" spans="1:12" x14ac:dyDescent="0.2">
      <c r="A30">
        <v>1</v>
      </c>
      <c r="B30">
        <f>B2/SQRT(INDEX($J$14:$J$23,$A30)*INDEX($J$14:$J$23,B$29))</f>
        <v>1</v>
      </c>
      <c r="C30">
        <f t="shared" ref="C30:K30" si="2">C2/SQRT(INDEX($J$14:$J$23,$A30)*INDEX($J$14:$J$23,C$29))</f>
        <v>0.69164527798469377</v>
      </c>
      <c r="D30">
        <f t="shared" si="2"/>
        <v>0.43146728628786368</v>
      </c>
      <c r="E30">
        <f t="shared" si="2"/>
        <v>0.68477731702604583</v>
      </c>
      <c r="F30">
        <f t="shared" si="2"/>
        <v>0.67569452767206595</v>
      </c>
      <c r="G30">
        <f t="shared" si="2"/>
        <v>0.32562632608334824</v>
      </c>
      <c r="H30">
        <f t="shared" si="2"/>
        <v>0.48499269202025352</v>
      </c>
      <c r="I30">
        <f t="shared" si="2"/>
        <v>0.3192279202403967</v>
      </c>
      <c r="J30">
        <f t="shared" si="2"/>
        <v>0.37766759358696123</v>
      </c>
      <c r="K30">
        <f t="shared" si="2"/>
        <v>0.3432973593596616</v>
      </c>
      <c r="L30" s="4">
        <f>AVERAGEIFS($B30:$K30,$B$29:$K$29,"&lt;&gt;"&amp;$A30)</f>
        <v>0.48159958891792115</v>
      </c>
    </row>
    <row r="31" spans="1:12" x14ac:dyDescent="0.2">
      <c r="A31">
        <v>2</v>
      </c>
      <c r="B31">
        <f t="shared" ref="B31:K31" si="3">B3/SQRT(INDEX($J$14:$J$23,$A31)*INDEX($J$14:$J$23,B$29))</f>
        <v>0.69164527798469377</v>
      </c>
      <c r="C31">
        <f t="shared" si="3"/>
        <v>1</v>
      </c>
      <c r="D31">
        <f t="shared" si="3"/>
        <v>0.61456094966520058</v>
      </c>
      <c r="E31">
        <f t="shared" si="3"/>
        <v>0.86305851229113217</v>
      </c>
      <c r="F31">
        <f t="shared" si="3"/>
        <v>0.86673749283623891</v>
      </c>
      <c r="G31">
        <f t="shared" si="3"/>
        <v>0.55298662746317118</v>
      </c>
      <c r="H31">
        <f t="shared" si="3"/>
        <v>0.78354662483874904</v>
      </c>
      <c r="I31">
        <f t="shared" si="3"/>
        <v>0.51178356482505794</v>
      </c>
      <c r="J31">
        <f t="shared" si="3"/>
        <v>0.57136561994429025</v>
      </c>
      <c r="K31">
        <f t="shared" si="3"/>
        <v>0.5459302335814562</v>
      </c>
      <c r="L31" s="4">
        <f t="shared" ref="L31:L39" si="4">AVERAGEIFS($B31:$K31,$B$29:$K$29,"&lt;&gt;"&amp;$A31)</f>
        <v>0.66684610038111003</v>
      </c>
    </row>
    <row r="32" spans="1:12" x14ac:dyDescent="0.2">
      <c r="A32">
        <v>3</v>
      </c>
      <c r="B32">
        <f t="shared" ref="B32:K32" si="5">B4/SQRT(INDEX($J$14:$J$23,$A32)*INDEX($J$14:$J$23,B$29))</f>
        <v>0.43146728628786368</v>
      </c>
      <c r="C32">
        <f t="shared" si="5"/>
        <v>0.61456094966520058</v>
      </c>
      <c r="D32">
        <f t="shared" si="5"/>
        <v>1</v>
      </c>
      <c r="E32">
        <f t="shared" si="5"/>
        <v>0.85718213713206259</v>
      </c>
      <c r="F32">
        <f t="shared" si="5"/>
        <v>0.85875859496950802</v>
      </c>
      <c r="G32">
        <f t="shared" si="5"/>
        <v>0.87297663135668868</v>
      </c>
      <c r="H32">
        <f t="shared" si="5"/>
        <v>0.5384978264499507</v>
      </c>
      <c r="I32">
        <f t="shared" si="5"/>
        <v>0.1195096955452714</v>
      </c>
      <c r="J32">
        <f t="shared" si="5"/>
        <v>0.26379961846147426</v>
      </c>
      <c r="K32">
        <f t="shared" si="5"/>
        <v>0.10493992799390042</v>
      </c>
      <c r="L32" s="4">
        <f t="shared" si="4"/>
        <v>0.51796585198465772</v>
      </c>
    </row>
    <row r="33" spans="1:12" x14ac:dyDescent="0.2">
      <c r="A33">
        <v>4</v>
      </c>
      <c r="B33">
        <f t="shared" ref="B33:K33" si="6">B5/SQRT(INDEX($J$14:$J$23,$A33)*INDEX($J$14:$J$23,B$29))</f>
        <v>0.68477731702604583</v>
      </c>
      <c r="C33">
        <f t="shared" si="6"/>
        <v>0.86305851229113217</v>
      </c>
      <c r="D33">
        <f t="shared" si="6"/>
        <v>0.85718213713206259</v>
      </c>
      <c r="E33">
        <f t="shared" si="6"/>
        <v>1</v>
      </c>
      <c r="F33">
        <f t="shared" si="6"/>
        <v>0.99883776545688929</v>
      </c>
      <c r="G33">
        <f t="shared" si="6"/>
        <v>0.79050104158154677</v>
      </c>
      <c r="H33">
        <f t="shared" si="6"/>
        <v>0.64669688932789171</v>
      </c>
      <c r="I33">
        <f t="shared" si="6"/>
        <v>0.3272098515215589</v>
      </c>
      <c r="J33">
        <f t="shared" si="6"/>
        <v>0.42725286622970887</v>
      </c>
      <c r="K33">
        <f t="shared" si="6"/>
        <v>0.33130405464477741</v>
      </c>
      <c r="L33" s="4">
        <f t="shared" si="4"/>
        <v>0.65853560391240151</v>
      </c>
    </row>
    <row r="34" spans="1:12" x14ac:dyDescent="0.2">
      <c r="A34">
        <v>5</v>
      </c>
      <c r="B34">
        <f t="shared" ref="B34:K34" si="7">B6/SQRT(INDEX($J$14:$J$23,$A34)*INDEX($J$14:$J$23,B$29))</f>
        <v>0.67569452767206595</v>
      </c>
      <c r="C34">
        <f t="shared" si="7"/>
        <v>0.86673749283623891</v>
      </c>
      <c r="D34">
        <f t="shared" si="7"/>
        <v>0.85875859496950802</v>
      </c>
      <c r="E34">
        <f t="shared" si="7"/>
        <v>0.99883776545688929</v>
      </c>
      <c r="F34">
        <f t="shared" si="7"/>
        <v>1</v>
      </c>
      <c r="G34">
        <f t="shared" si="7"/>
        <v>0.7879068846522026</v>
      </c>
      <c r="H34">
        <f t="shared" si="7"/>
        <v>0.64583744566368828</v>
      </c>
      <c r="I34">
        <f t="shared" si="7"/>
        <v>0.32864687524566649</v>
      </c>
      <c r="J34">
        <f t="shared" si="7"/>
        <v>0.41621077979021703</v>
      </c>
      <c r="K34">
        <f t="shared" si="7"/>
        <v>0.33170724910015625</v>
      </c>
      <c r="L34" s="4">
        <f t="shared" si="4"/>
        <v>0.65670417948740356</v>
      </c>
    </row>
    <row r="35" spans="1:12" x14ac:dyDescent="0.2">
      <c r="A35">
        <v>6</v>
      </c>
      <c r="B35">
        <f t="shared" ref="B35:K35" si="8">B7/SQRT(INDEX($J$14:$J$23,$A35)*INDEX($J$14:$J$23,B$29))</f>
        <v>0.32562632608334824</v>
      </c>
      <c r="C35">
        <f t="shared" si="8"/>
        <v>0.55298662746317118</v>
      </c>
      <c r="D35">
        <f t="shared" si="8"/>
        <v>0.87297663135668868</v>
      </c>
      <c r="E35">
        <f t="shared" si="8"/>
        <v>0.79050104158154677</v>
      </c>
      <c r="F35">
        <f t="shared" si="8"/>
        <v>0.7879068846522026</v>
      </c>
      <c r="G35">
        <f t="shared" si="8"/>
        <v>1</v>
      </c>
      <c r="H35">
        <f t="shared" si="8"/>
        <v>0.4484170141297717</v>
      </c>
      <c r="I35">
        <f t="shared" si="8"/>
        <v>4.7542721965261298E-2</v>
      </c>
      <c r="J35">
        <f t="shared" si="8"/>
        <v>0.27118788198935995</v>
      </c>
      <c r="K35">
        <f t="shared" si="8"/>
        <v>4.3378200441934939E-2</v>
      </c>
      <c r="L35" s="4">
        <f t="shared" si="4"/>
        <v>0.46005814774036502</v>
      </c>
    </row>
    <row r="36" spans="1:12" x14ac:dyDescent="0.2">
      <c r="A36">
        <v>7</v>
      </c>
      <c r="B36">
        <f t="shared" ref="B36:K36" si="9">B8/SQRT(INDEX($J$14:$J$23,$A36)*INDEX($J$14:$J$23,B$29))</f>
        <v>0.48499269202025352</v>
      </c>
      <c r="C36">
        <f t="shared" si="9"/>
        <v>0.78354662483874904</v>
      </c>
      <c r="D36">
        <f t="shared" si="9"/>
        <v>0.5384978264499507</v>
      </c>
      <c r="E36">
        <f t="shared" si="9"/>
        <v>0.64669688932789171</v>
      </c>
      <c r="F36">
        <f t="shared" si="9"/>
        <v>0.64583744566368828</v>
      </c>
      <c r="G36">
        <f t="shared" si="9"/>
        <v>0.4484170141297717</v>
      </c>
      <c r="H36">
        <f t="shared" si="9"/>
        <v>1</v>
      </c>
      <c r="I36">
        <f t="shared" si="9"/>
        <v>0.55598656202553409</v>
      </c>
      <c r="J36">
        <f t="shared" si="9"/>
        <v>0.570478211562225</v>
      </c>
      <c r="K36">
        <f t="shared" si="9"/>
        <v>0.57438688401407512</v>
      </c>
      <c r="L36" s="4">
        <f t="shared" si="4"/>
        <v>0.58320446111468216</v>
      </c>
    </row>
    <row r="37" spans="1:12" x14ac:dyDescent="0.2">
      <c r="A37">
        <v>8</v>
      </c>
      <c r="B37">
        <f t="shared" ref="B37:K37" si="10">B9/SQRT(INDEX($J$14:$J$23,$A37)*INDEX($J$14:$J$23,B$29))</f>
        <v>0.3192279202403967</v>
      </c>
      <c r="C37">
        <f t="shared" si="10"/>
        <v>0.51178356482505794</v>
      </c>
      <c r="D37">
        <f t="shared" si="10"/>
        <v>0.1195096955452714</v>
      </c>
      <c r="E37">
        <f t="shared" si="10"/>
        <v>0.3272098515215589</v>
      </c>
      <c r="F37">
        <f t="shared" si="10"/>
        <v>0.32864687524566649</v>
      </c>
      <c r="G37">
        <f t="shared" si="10"/>
        <v>4.7542721965261298E-2</v>
      </c>
      <c r="H37">
        <f t="shared" si="10"/>
        <v>0.55598656202553409</v>
      </c>
      <c r="I37">
        <f t="shared" si="10"/>
        <v>1</v>
      </c>
      <c r="J37">
        <f t="shared" si="10"/>
        <v>0.60144123407930461</v>
      </c>
      <c r="K37">
        <f t="shared" si="10"/>
        <v>0.99111998095746756</v>
      </c>
      <c r="L37" s="4">
        <f t="shared" si="4"/>
        <v>0.42249648960061326</v>
      </c>
    </row>
    <row r="38" spans="1:12" x14ac:dyDescent="0.2">
      <c r="A38">
        <v>9</v>
      </c>
      <c r="B38">
        <f t="shared" ref="B38:K38" si="11">B10/SQRT(INDEX($J$14:$J$23,$A38)*INDEX($J$14:$J$23,B$29))</f>
        <v>0.37766759358696123</v>
      </c>
      <c r="C38">
        <f t="shared" si="11"/>
        <v>0.57136561994429025</v>
      </c>
      <c r="D38">
        <f t="shared" si="11"/>
        <v>0.26379961846147426</v>
      </c>
      <c r="E38">
        <f t="shared" si="11"/>
        <v>0.42725286622970887</v>
      </c>
      <c r="F38">
        <f t="shared" si="11"/>
        <v>0.41621077979021703</v>
      </c>
      <c r="G38">
        <f t="shared" si="11"/>
        <v>0.27118788198935995</v>
      </c>
      <c r="H38">
        <f t="shared" si="11"/>
        <v>0.570478211562225</v>
      </c>
      <c r="I38">
        <f t="shared" si="11"/>
        <v>0.60144123407930461</v>
      </c>
      <c r="J38">
        <f t="shared" si="11"/>
        <v>1</v>
      </c>
      <c r="K38">
        <f t="shared" si="11"/>
        <v>0.64424662593420423</v>
      </c>
      <c r="L38" s="4">
        <f t="shared" si="4"/>
        <v>0.46040560350863835</v>
      </c>
    </row>
    <row r="39" spans="1:12" x14ac:dyDescent="0.2">
      <c r="A39">
        <v>10</v>
      </c>
      <c r="B39">
        <f t="shared" ref="B39:K39" si="12">B11/SQRT(INDEX($J$14:$J$23,$A39)*INDEX($J$14:$J$23,B$29))</f>
        <v>0.3432973593596616</v>
      </c>
      <c r="C39">
        <f t="shared" si="12"/>
        <v>0.5459302335814562</v>
      </c>
      <c r="D39">
        <f t="shared" si="12"/>
        <v>0.10493992799390042</v>
      </c>
      <c r="E39">
        <f t="shared" si="12"/>
        <v>0.33130405464477741</v>
      </c>
      <c r="F39">
        <f t="shared" si="12"/>
        <v>0.33170724910015625</v>
      </c>
      <c r="G39">
        <f t="shared" si="12"/>
        <v>4.3378200441934939E-2</v>
      </c>
      <c r="H39">
        <f t="shared" si="12"/>
        <v>0.57438688401407512</v>
      </c>
      <c r="I39">
        <f t="shared" si="12"/>
        <v>0.99111998095746756</v>
      </c>
      <c r="J39">
        <f t="shared" si="12"/>
        <v>0.64424662593420423</v>
      </c>
      <c r="K39">
        <f t="shared" si="12"/>
        <v>1</v>
      </c>
      <c r="L39" s="4">
        <f t="shared" si="4"/>
        <v>0.43447894622529265</v>
      </c>
    </row>
    <row r="131" spans="2:2" x14ac:dyDescent="0.2">
      <c r="B131">
        <v>5.4785981902189487E-2</v>
      </c>
    </row>
    <row r="132" spans="2:2" x14ac:dyDescent="0.2">
      <c r="B132">
        <v>5.4785981902189487E-2</v>
      </c>
    </row>
    <row r="133" spans="2:2" x14ac:dyDescent="0.2">
      <c r="B133">
        <v>5.4785981902189487E-2</v>
      </c>
    </row>
    <row r="134" spans="2:2" x14ac:dyDescent="0.2">
      <c r="B134">
        <v>5.4785981902189487E-2</v>
      </c>
    </row>
    <row r="135" spans="2:2" x14ac:dyDescent="0.2">
      <c r="B135">
        <v>5.4785981902189487E-2</v>
      </c>
    </row>
    <row r="136" spans="2:2" x14ac:dyDescent="0.2">
      <c r="B136">
        <v>5.4785981902189487E-2</v>
      </c>
    </row>
    <row r="137" spans="2:2" x14ac:dyDescent="0.2">
      <c r="B137">
        <v>5.4785981902189487E-2</v>
      </c>
    </row>
    <row r="138" spans="2:2" x14ac:dyDescent="0.2">
      <c r="B138">
        <v>5.4785981902189487E-2</v>
      </c>
    </row>
    <row r="139" spans="2:2" x14ac:dyDescent="0.2">
      <c r="B139">
        <v>5.4785981902189487E-2</v>
      </c>
    </row>
    <row r="1310" spans="2:2" x14ac:dyDescent="0.2">
      <c r="B1310">
        <v>5.4785981902189487E-2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2013-07-29T13:58:47Z</dcterms:created>
  <dcterms:modified xsi:type="dcterms:W3CDTF">2018-07-24T07:38:02Z</dcterms:modified>
</cp:coreProperties>
</file>